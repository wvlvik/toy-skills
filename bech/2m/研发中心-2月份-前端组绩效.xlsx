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汇总" sheetId="1" r:id="rId1"/>
    <sheet name="吴铝" sheetId="2" r:id="rId2"/>
    <sheet name="文武" sheetId="3" r:id="rId3"/>
    <sheet name="陈方杰" sheetId="4" r:id="rId4"/>
    <sheet name="李金涛" sheetId="5" r:id="rId5"/>
    <sheet name="刘子昱" sheetId="6" r:id="rId6"/>
    <sheet name="戴婕妤" sheetId="7" r:id="rId7"/>
    <sheet name="熊思" sheetId="8" r:id="rId8"/>
    <sheet name="曹振辉" sheetId="9" r:id="rId9"/>
    <sheet name="方乐" sheetId="10" r:id="rId10"/>
    <sheet name="汤显文" sheetId="11" r:id="rId11"/>
    <sheet name="刘奕君" sheetId="12" r:id="rId12"/>
    <sheet name="周树梧" sheetId="13" r:id="rId13"/>
    <sheet name="唐尧" sheetId="14" r:id="rId14"/>
    <sheet name="陈铁梁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<sst xmlns="http://schemas.openxmlformats.org/spreadsheetml/2006/main" count="1353" uniqueCount="277">
  <si>
    <t>2026年    02 月    研发      部/中心绩效明细表</t>
  </si>
  <si>
    <t>序号</t>
  </si>
  <si>
    <t>部门</t>
  </si>
  <si>
    <t>岗位</t>
  </si>
  <si>
    <t>姓名
（点击进入）</t>
  </si>
  <si>
    <t>绩效分数</t>
  </si>
  <si>
    <t>绩效系数</t>
  </si>
  <si>
    <t>绩效等级</t>
  </si>
  <si>
    <t>绩优或绩差人员关键事实说明</t>
  </si>
  <si>
    <t>开发部</t>
  </si>
  <si>
    <t>前端主管</t>
  </si>
  <si>
    <t>吴铝</t>
  </si>
  <si>
    <t>前端开发</t>
  </si>
  <si>
    <t>文武</t>
  </si>
  <si>
    <t>陈方杰</t>
  </si>
  <si>
    <t>唐尧</t>
  </si>
  <si>
    <t>陈铁梁</t>
  </si>
  <si>
    <t>李金涛</t>
  </si>
  <si>
    <t>刘子昱</t>
  </si>
  <si>
    <t>严重线上问题</t>
  </si>
  <si>
    <t>戴婕妤</t>
  </si>
  <si>
    <t>AI提效和高强度任务</t>
  </si>
  <si>
    <t>熊思</t>
  </si>
  <si>
    <t>曹振辉</t>
  </si>
  <si>
    <t>方乐</t>
  </si>
  <si>
    <t>汤显文</t>
  </si>
  <si>
    <t>平均值</t>
  </si>
  <si>
    <t>部门负责人绩效系数</t>
  </si>
  <si>
    <t>绩效系数&gt;1</t>
  </si>
  <si>
    <t>绩效系数=1</t>
  </si>
  <si>
    <t>绩效系数&lt;1</t>
  </si>
  <si>
    <t>合计</t>
  </si>
  <si>
    <t>实际占比</t>
  </si>
  <si>
    <t>正常区间</t>
  </si>
  <si>
    <t>备注说明：
为执行预算管理促进部门利润达成同时激发人员动能，部门绩效结果强正态721分布，人员分配权限归部门总监所有，规则如下：
部门负责人绩效系数≥1时，70%系数＝1，20%系数＞1，10%系数小于1；
部门负责人绩效系数＜1时，70%系数＝1，20%系数＜1，10%系数＞1。
针对部门绩优或绩差人员需总监做关键事实说明。
举例：
部门人数8人(不含负责人)，部门负责人4月绩效86分&lt;100分，故部门正态分布：
1、70%系数(8*0.7=5人)＝1，
2、20%系数（8*0.2=2人）＞1
3、10%系数(8*0.1=1人)&lt;1</t>
  </si>
  <si>
    <t>2月绩效考核表</t>
  </si>
  <si>
    <t>姓名:</t>
  </si>
  <si>
    <t>部门: 前端</t>
  </si>
  <si>
    <t>岗位：</t>
  </si>
  <si>
    <t>开发</t>
  </si>
  <si>
    <t>考核周期 ：</t>
  </si>
  <si>
    <t>2026.2.1-2026.2.28</t>
  </si>
  <si>
    <t>一、业务管理（100分）</t>
  </si>
  <si>
    <t>维度</t>
  </si>
  <si>
    <t>指标</t>
  </si>
  <si>
    <t>指标说明
（指标含义、计算公式或说明）</t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</si>
  <si>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</si>
  <si>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</si>
  <si>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</si>
  <si>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</si>
  <si>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</si>
  <si>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</si>
  <si>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</si>
  <si>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</si>
  <si>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</si>
  <si>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 xml:space="preserve">1、小程序原生直播优化
</t>
  </si>
  <si>
    <t>1、完成小程序直播上线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</si>
  <si>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</si>
  <si>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</si>
  <si>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1、基本完成，待上线</t>
  </si>
  <si>
    <t>技术任务(20分)</t>
  </si>
  <si>
    <t>1、AI工作流搭建</t>
  </si>
  <si>
    <t>1、开发工具及范式</t>
  </si>
  <si>
    <t>1、cursor+opencode
2、国产模型和sonnet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</si>
  <si>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</si>
  <si>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</si>
  <si>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</si>
  <si>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</si>
  <si>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</si>
  <si>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</si>
  <si>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</si>
  <si>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</si>
  <si>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</si>
  <si>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</si>
  <si>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</si>
  <si>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</si>
  <si>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</si>
  <si>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</si>
  <si>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https://www.tapd.cn/tapd_fe/50372234/bug/list?filter=current_owner="吴铝" and version_report="线上版本" and created="2026-02-01~2026-02-28"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</si>
  <si>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</si>
  <si>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</si>
  <si>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</si>
  <si>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</si>
  <si>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https://www.tapd.cn/tapd_fe/50372234/bug/list?filter=current_owner="吴铝" and version_report="测试版本" and created="2026-02-01~2026-02-28"</t>
  </si>
  <si>
    <t>关键指标</t>
  </si>
  <si>
    <t>如：培训、代码评审、关键技术事项</t>
  </si>
  <si>
    <t>新员工如团队融入：
1、组织前端公共知识的培训，如：开发流程、常用工具、代码分支
2、各业务模块专项培训，快速上手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</si>
  <si>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</si>
  <si>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</si>
  <si>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</si>
  <si>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</si>
  <si>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</si>
  <si>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</si>
  <si>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</si>
  <si>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</si>
  <si>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</si>
  <si>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</si>
  <si>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</si>
  <si>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</si>
  <si>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</si>
  <si>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部门:</t>
  </si>
  <si>
    <t>微信原生小程序直播</t>
  </si>
  <si>
    <t>上线使用</t>
  </si>
  <si>
    <t>基本功能实现完成</t>
  </si>
  <si>
    <t>团队规范公共文档输出、开发侧工具提供、AI使用推进</t>
  </si>
  <si>
    <t>不影响正常使用迭代</t>
  </si>
  <si>
    <t>https://www.tapd.cn/tapd_fe/50372234/bug/list?sort_name=version_report&amp;order=desc&amp;confId=1150372234001004691&amp;queryToken=1aa6f2f9eb94ba98d00fe599f54ce453&amp;displayEmptyGroup=display&amp;groupType=&amp;page=1</t>
  </si>
  <si>
    <t>https://www.tapd.cn/tapd_fe/50372234/bug/list?filter=current_owner="文武" and version_report="线上版本" and created="2026-02-01~2026-02-28"</t>
  </si>
  <si>
    <t>https://www.tapd.cn/tapd_fe/50372234/bug/list?filter=current_owner="文武" and version_report="测试版本" and created="2026-02-01~2026-02-28"</t>
  </si>
  <si>
    <t>AI编程先锋，协助规范验证，并进行了几乎无人工手写代码完成小程序原生直播板块集成</t>
  </si>
  <si>
    <t>2026-2月绩效考核表</t>
  </si>
  <si>
    <t>研发部</t>
  </si>
  <si>
    <t>业务线（50分）</t>
  </si>
  <si>
    <t>结果指标
（50分）</t>
  </si>
  <si>
    <t>开发目标达成率-产品规划</t>
  </si>
  <si>
    <t>商家&amp;中台&amp;供应商售后备注同步</t>
  </si>
  <si>
    <t>业务线负责人
部门总监</t>
  </si>
  <si>
    <t>完成</t>
  </si>
  <si>
    <t>店长协助申请售后，不允许用户进售后详情</t>
  </si>
  <si>
    <t>1.店长端，支持上门取件；2.供应商端，根据物流单查询退货单</t>
  </si>
  <si>
    <t>【邻里】订单优化1、订单列表支持代客下单类型查询</t>
  </si>
  <si>
    <t>1、门店订单导出新增字段2、提货单分状态展示</t>
  </si>
  <si>
    <t>技术任务</t>
  </si>
  <si>
    <t>Ai code review 工具</t>
  </si>
  <si>
    <t>业务组件库，直播监控台</t>
  </si>
  <si>
    <t>资源线（50分）</t>
  </si>
  <si>
    <t>过程指标
（15分）</t>
  </si>
  <si>
    <t>1、涉及存储结构、查询结构，新增/调整的，需要写设计文档，并组织评审。结构包含但不限于：MySQL、ES、MongoDB、Redis、MQ等。
2、需求、技术任务超过30工时，需要找架构师确认实现方案
3、字段顺序未体现业务逻辑性 。
4、根据业务场景合理添加索引。
5、流程图。</t>
  </si>
  <si>
    <t>资源线负责人、部门总监</t>
  </si>
  <si>
    <t>质量指标
（30分）</t>
  </si>
  <si>
    <t>1、致命：扣5-10分一个；
2、严重：扣5分一个;
当月线上环境无严重及以上问题视情况加2-5分。</t>
  </si>
  <si>
    <t>提测质量</t>
  </si>
  <si>
    <t>关键指标
（5分）</t>
  </si>
  <si>
    <t>团队管理</t>
  </si>
  <si>
    <t>制定培训学习计划并组织实施
1、月培训次数不少于1次
2、团队开发质量管理</t>
  </si>
  <si>
    <t>培训、代码评审未组织不得分</t>
  </si>
  <si>
    <t>前端团队部署生产环境级别的ai code review 工具</t>
  </si>
  <si>
    <t>合    计</t>
  </si>
  <si>
    <t>产品规划(40分)</t>
  </si>
  <si>
    <t>【定开】有赞零售订单的发货、售后</t>
  </si>
  <si>
    <t>在规定版本上线，且无严重问题</t>
  </si>
  <si>
    <t>未完成视情况扣0-5分</t>
  </si>
  <si>
    <t>现金券叠加张数、适用商品</t>
  </si>
  <si>
    <t>【2月5日】【小贝优选】新增门店｜店员数据统计</t>
  </si>
  <si>
    <t>【锦诺专项】门店老板入驻签约+契约锁优化+企业工商信息对接</t>
  </si>
  <si>
    <t>【定开】换货仅允许以低换高</t>
  </si>
  <si>
    <t>https://www.tapd.cn/tapd_fe/50372234/bug/list?filter=current_owner="李金涛" and version_report="线上版本" and created="2026-02-01~2026-02-28"</t>
  </si>
  <si>
    <t>v10.12.4-组合商品前后端分离</t>
  </si>
  <si>
    <t>https://www.tapd.cn/tapd_fe/50372234/bug/list?filter=current_owner="李金涛" and version_report="测试版本" and created="2026-02-01~2026-02-28"</t>
  </si>
  <si>
    <t>门店业绩：新增按资金时间统计（deadline：2月7日）</t>
  </si>
  <si>
    <t>【老王之家】商品定金预售支持直播间场景；定金预售商品支持门店提货单、采购单的业务</t>
  </si>
  <si>
    <t>技术任务(10分)</t>
  </si>
  <si>
    <t>web 项目引入AI审查，在项目提交先AI校验</t>
  </si>
  <si>
    <t>1、涉及到影响流程的需求需要编写技术方案。 
2、需求、技术任务超过30工时，需要找架构师确认实现方案。
3、流程图。</t>
  </si>
  <si>
    <t xml:space="preserve"> </t>
  </si>
  <si>
    <t>业务线指标(50分)</t>
  </si>
  <si>
    <t>用户组需求合集（会员等级）</t>
  </si>
  <si>
    <t>服务商固定手机号修改</t>
  </si>
  <si>
    <t>零售等级弹窗自定义</t>
  </si>
  <si>
    <t>售后信息必填，订单支持导出</t>
  </si>
  <si>
    <t>省市区修改地址</t>
  </si>
  <si>
    <t>未完成视情况扣0-10分</t>
  </si>
  <si>
    <t>未上线</t>
  </si>
  <si>
    <t>https://www.tapd.cn/tapd_fe/50372234/bug/list?filter=current_owner="刘子昱" and version_report="线上版本" and created="2026-02-01~2026-02-28"</t>
  </si>
  <si>
    <t>1、涉及存储结构、查询结构，新增/调整的，需要写设计文档，并组织评审。结构包含但不限于：MySQL、ES、MongoDB、Redis、MQ等。 
2、需求、技术任务超过30工时，需要找架构师确认实现方案
3、字段顺序未体现业务逻辑性 。
4、根据业务场景合理添加索引。
5、流程图。</t>
  </si>
  <si>
    <t>https://www.tapd.cn/tapd_fe/50372234/bug/list?filter=current_owner="刘子昱" and version_report="测试版本" and created="2026-02-01~2026-02-28"</t>
  </si>
  <si>
    <t>姓名:戴婕妤</t>
  </si>
  <si>
    <t>模板</t>
  </si>
  <si>
    <t>部门:研发前端</t>
  </si>
  <si>
    <t>正常上线</t>
  </si>
  <si>
    <t>【锦诺】直播个人中心，我的钱包名称支持自定义</t>
  </si>
  <si>
    <t>小程序原生集成火山直播SDK</t>
  </si>
  <si>
    <t>测试中</t>
  </si>
  <si>
    <t>https://www.tapd.cn/tapd_fe/50372234/bug/list?filter=current_owner="戴婕妤" and version_report="线上版本" and created="2026-02-01~2026-02-28"</t>
  </si>
  <si>
    <t>https://www.tapd.cn/tapd_fe/50372234/bug/list?filter=current_owner="戴婕妤" and version_report="测试版本" and created="2026-02-01~2026-02-28"</t>
  </si>
  <si>
    <t>一般（1）</t>
  </si>
  <si>
    <t>购买有礼</t>
  </si>
  <si>
    <t>按时完成开发提测</t>
  </si>
  <si>
    <t>已提测</t>
  </si>
  <si>
    <t>门店订单核销流程优化</t>
  </si>
  <si>
    <t>完成开发上线</t>
  </si>
  <si>
    <t>已上线</t>
  </si>
  <si>
    <t>我的奖品</t>
  </si>
  <si>
    <t>按时完成上线</t>
  </si>
  <si>
    <t>小程序原生直播</t>
  </si>
  <si>
    <t>完成开发</t>
  </si>
  <si>
    <t>已完成开发</t>
  </si>
  <si>
    <t>原生开发-业务逻辑梳理https://www.tapd.cn/50372234/markdown_wikis/show#1150372234001012294、https://www.tapd.cn/50372234/markdown_wikis/show#1150372234001012293  我的奖品体验报告https://www.tapd.cn/50372234/markdown_wikis/show#1150372234001012473</t>
  </si>
  <si>
    <t>https://www.tapd.cn/tapd_fe/50372234/bug/list?filter=current_owner="熊思" and version_report="线上版本" and created="2026-02-01~2026-02-28"</t>
  </si>
  <si>
    <t>无</t>
  </si>
  <si>
    <t>https://www.tapd.cn/tapd_fe/50372234/bug/list?filter=current_owner="熊思" and version_report="测试版本" and created="2026-02-01~2026-02-28"</t>
  </si>
  <si>
    <t>一般 5个</t>
  </si>
  <si>
    <t>app一键登录</t>
  </si>
  <si>
    <t>按时提测、按时上线</t>
  </si>
  <si>
    <t>有为优选第三方app支持</t>
  </si>
  <si>
    <t>配置新app打包资料</t>
  </si>
  <si>
    <t>实现打包发版</t>
  </si>
  <si>
    <t>上门取件微信支付</t>
  </si>
  <si>
    <t>升级app打包混淆方案</t>
  </si>
  <si>
    <t>实现不同app混淆结果不同</t>
  </si>
  <si>
    <t>实现根据不同app混淆出不同大小、不同文件安装包</t>
  </si>
  <si>
    <t>https://www.tapd.cn/tapd_fe/50372234/bug/list?filter=current_owner="曹振辉" and version_report="线上版本" and created="2026-02-01~2026-02-28"</t>
  </si>
  <si>
    <t>自动打包脚本文档</t>
  </si>
  <si>
    <t>https://www.tapd.cn/tapd_fe/50372234/bug/list?filter=current_owner="曹振辉" and version_report="测试版本" and created="2026-02-01~2026-02-28"</t>
  </si>
  <si>
    <t>及时响应解决</t>
  </si>
  <si>
    <t>app内二维码根据配置跳转</t>
  </si>
  <si>
    <t>完成需求开发</t>
  </si>
  <si>
    <t>已完成</t>
  </si>
  <si>
    <t>直播间复制口令</t>
  </si>
  <si>
    <t>app问题修复</t>
  </si>
  <si>
    <t>修复问题</t>
  </si>
  <si>
    <t>部分已完成</t>
  </si>
  <si>
    <t>app与h5通信预留相关配置</t>
  </si>
  <si>
    <t>通过参数配置无需打包app</t>
  </si>
  <si>
    <t>https://www.tapd.cn/tapd_fe/50372234/bug/list?filter=current_owner="方乐" and version_report="线上版本" and created="2026-02-01~2026-02-28"</t>
  </si>
  <si>
    <t>https://www.tapd.cn/tapd_fe/50372234/bug/list?filter=current_owner="方乐" and version_report="测试版本" and created="2026-02-01~2026-02-28"</t>
  </si>
  <si>
    <t>打包app，生成官网，以及app相关公钥签名的生成</t>
  </si>
  <si>
    <t>完成新app的公钥签名生成</t>
  </si>
  <si>
    <t>客户反馈的bug修复</t>
  </si>
  <si>
    <t>完成90%的bug修复</t>
  </si>
  <si>
    <t>及时改进以及修复bug</t>
  </si>
  <si>
    <t>APP日常需求开发</t>
  </si>
  <si>
    <t>解决app目前不支持nvue页面问题</t>
  </si>
  <si>
    <t>能使用nvue以及subNvue</t>
  </si>
  <si>
    <t>目前项目可以直接建nvue页面运行以及接入原生组件</t>
  </si>
  <si>
    <t>https://www.tapd.cn/tapd_fe/50372234/bug/list?filter=current_owner="汤显文" and version_report="线上版本" and created="2026-02-01~2026-02-28"</t>
  </si>
  <si>
    <t>https://www.tapd.cn/tapd_fe/50372234/bug/list?filter=current_owner="汤显文" and version_report="测试版本" and created="2026-02-01~2026-02-28"</t>
  </si>
  <si>
    <t>刘奕君</t>
  </si>
  <si>
    <r>
      <rPr>
        <b/>
        <sz val="12"/>
        <color rgb="FF000000"/>
        <rFont val="宋体"/>
        <charset val="134"/>
        <scheme val="minor"/>
      </rPr>
      <t>指标说明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（指标含义、计算公式或说明）</t>
    </r>
  </si>
  <si>
    <r>
      <rPr>
        <b/>
        <sz val="12"/>
        <color rgb="FF000000"/>
        <rFont val="Helvetica Neue"/>
        <charset val="134"/>
      </rPr>
      <t>结果指标</t>
    </r>
    <r>
      <rPr>
        <b/>
        <sz val="12"/>
        <color rgb="FF000000"/>
        <rFont val="Helvetica Neue"/>
        <charset val="134"/>
      </rPr>
      <t xml:space="preserve">
</t>
    </r>
    <r>
      <rPr>
        <b/>
        <sz val="12"/>
        <color rgb="FF000000"/>
        <rFont val="Helvetica Neue"/>
        <charset val="134"/>
      </rPr>
      <t>（50分）</t>
    </r>
  </si>
  <si>
    <t>门店发货单批量发货数量选填</t>
  </si>
  <si>
    <t>物流监控增加一个业务类型的筛选条件：普通订单、采购单、售后单</t>
  </si>
  <si>
    <t>【私域直播】：直播发优惠券、发积分、发红包（余额、微信零钱）</t>
  </si>
  <si>
    <t>【田猫】根据地址自动匹配自提门店</t>
  </si>
  <si>
    <r>
      <rPr>
        <b/>
        <sz val="12"/>
        <color rgb="FF000000"/>
        <rFont val="宋体-简"/>
        <charset val="134"/>
      </rPr>
      <t>技术任务</t>
    </r>
    <r>
      <rPr>
        <b/>
        <sz val="12"/>
        <color rgb="FF000000"/>
        <rFont val="Helvetica Neue"/>
        <charset val="134"/>
      </rPr>
      <t>(10</t>
    </r>
    <r>
      <rPr>
        <b/>
        <sz val="12"/>
        <color rgb="FF000000"/>
        <rFont val="宋体-简"/>
        <charset val="134"/>
      </rPr>
      <t>分</t>
    </r>
    <r>
      <rPr>
        <b/>
        <sz val="12"/>
        <color rgb="FF000000"/>
        <rFont val="Helvetica Neue"/>
        <charset val="134"/>
      </rPr>
      <t>)</t>
    </r>
  </si>
  <si>
    <t>zanapp实现selest v2 的组件， 结合query 无限滚动</t>
  </si>
  <si>
    <t>在规定版本上线，功能，测试，文档齐全</t>
  </si>
  <si>
    <r>
      <rPr>
        <b/>
        <sz val="12"/>
        <color rgb="FF000000"/>
        <rFont val="Helvetica Neue"/>
        <charset val="134"/>
      </rPr>
      <t>过程指标</t>
    </r>
    <r>
      <rPr>
        <b/>
        <sz val="12"/>
        <color rgb="FF000000"/>
        <rFont val="Helvetica Neue"/>
        <charset val="134"/>
      </rPr>
      <t xml:space="preserve">
</t>
    </r>
    <r>
      <rPr>
        <b/>
        <sz val="12"/>
        <color rgb="FF000000"/>
        <rFont val="Helvetica Neue"/>
        <charset val="134"/>
      </rPr>
      <t>（15分）</t>
    </r>
  </si>
  <si>
    <r>
      <rPr>
        <sz val="11"/>
        <color rgb="FF000000"/>
        <rFont val="宋体"/>
        <charset val="134"/>
        <scheme val="minor"/>
      </rPr>
      <t>1、涉及存储结构、查询结构，新增/调整的，需要写设计文档，并组织评审。结构包含但不限于：MySQL、ES、MongoDB、Redis、MQ等。</t>
    </r>
    <r>
      <rPr>
        <sz val="11"/>
        <color rgb="FF000000"/>
        <rFont val="等线"/>
        <charset val="134"/>
      </rPr>
      <t xml:space="preserve">
2、需求、技术任务超过30工时，需要找架构师确认实现方案
3、字段顺序未体现业务逻辑性 。
4、根据业务场景合理添加索引。
5、流程图。</t>
    </r>
  </si>
  <si>
    <r>
      <rPr>
        <sz val="11"/>
        <color rgb="FF000000"/>
        <rFont val="宋体"/>
        <charset val="134"/>
        <scheme val="minor"/>
      </rPr>
      <t>未作1次：扣2分/次；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未作2次：扣5分/次；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未作3次：扣10分/次；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加2-5分（周期）。</t>
    </r>
  </si>
  <si>
    <r>
      <rPr>
        <sz val="11"/>
        <color rgb="FF000000"/>
        <rFont val="宋体"/>
        <charset val="134"/>
        <scheme val="minor"/>
      </rPr>
      <t>1、致命类问题：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5分钟内做出响应，20分钟内出解决方案，1小时内解决问题。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2、严重类问题：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工作时间: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10分钟内做出响应，1小时内出解决方案，2小时内解决问题。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非工作时间：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30分钟内做出响应，2小时内出解决方案，4小时内解决问题。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3、一般类问题：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工作时间：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20分钟内做出响应，2小时内出解决方案，24小时内解决问题。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非工作时间：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1小时内做出响应，12小时内出解决方案，24小时内解决问题。</t>
    </r>
  </si>
  <si>
    <r>
      <rPr>
        <sz val="11"/>
        <color rgb="FF000000"/>
        <rFont val="宋体"/>
        <charset val="134"/>
        <scheme val="minor"/>
      </rPr>
      <t>1.致命问题未按规定及时响应不得分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2.严重问题未按规定时间及时响应每个扣5分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3.一般问题未按规定时间及时响应每个扣2-3分</t>
    </r>
  </si>
  <si>
    <r>
      <rPr>
        <b/>
        <sz val="12"/>
        <color rgb="FF000000"/>
        <rFont val="Helvetica Neue"/>
        <charset val="134"/>
      </rPr>
      <t>质量指标</t>
    </r>
    <r>
      <rPr>
        <b/>
        <sz val="12"/>
        <color rgb="FF000000"/>
        <rFont val="Helvetica Neue"/>
        <charset val="134"/>
      </rPr>
      <t xml:space="preserve">
</t>
    </r>
    <r>
      <rPr>
        <b/>
        <sz val="12"/>
        <color rgb="FF000000"/>
        <rFont val="Helvetica Neue"/>
        <charset val="134"/>
      </rPr>
      <t>（30分）</t>
    </r>
  </si>
  <si>
    <r>
      <rPr>
        <sz val="11"/>
        <color rgb="FF000000"/>
        <rFont val="宋体"/>
        <charset val="134"/>
      </rPr>
      <t>1、致命：扣5-10分一个；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2、严重：扣5分一个;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当月线上环境无严重及以上问题视情况加2-5分。</t>
    </r>
  </si>
  <si>
    <r>
      <rPr>
        <sz val="11"/>
        <color rgb="FF000000"/>
        <rFont val="宋体"/>
        <charset val="134"/>
      </rPr>
      <t>1、提测后影响测试流程者，每处扣3分。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2、提测后被打回，每次5分。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任务周期内零Bug，加2-5（周期）。</t>
    </r>
  </si>
  <si>
    <r>
      <rPr>
        <b/>
        <sz val="12"/>
        <color rgb="FF000000"/>
        <rFont val="宋体"/>
        <charset val="134"/>
        <scheme val="minor"/>
      </rPr>
      <t>关键指标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（5分）</t>
    </r>
  </si>
  <si>
    <r>
      <rPr>
        <sz val="12"/>
        <color rgb="FF000000"/>
        <rFont val="宋体"/>
        <charset val="134"/>
        <scheme val="minor"/>
      </rPr>
      <t>制定培训学习计划并组织实施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1、月培训次数不少于1次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2、团队开发质量管理</t>
    </r>
  </si>
  <si>
    <r>
      <rPr>
        <b/>
        <sz val="12"/>
        <color rgb="FFFF0000"/>
        <rFont val="宋体"/>
        <charset val="134"/>
        <scheme val="minor"/>
      </rPr>
      <t>合</t>
    </r>
    <r>
      <rPr>
        <b/>
        <sz val="12"/>
        <color rgb="FFFF0000"/>
        <rFont val="等线"/>
        <charset val="134"/>
      </rPr>
      <t xml:space="preserve">    </t>
    </r>
    <r>
      <rPr>
        <b/>
        <sz val="12"/>
        <color rgb="FFFF0000"/>
        <rFont val="等线"/>
        <charset val="134"/>
      </rPr>
      <t>计</t>
    </r>
  </si>
  <si>
    <r>
      <rPr>
        <sz val="11"/>
        <color rgb="FF000000"/>
        <rFont val="宋体"/>
        <charset val="134"/>
        <scheme val="minor"/>
      </rPr>
      <t>1、辱骂、诋毁、诽谤、造谣同事/公司，给同事/公司造成负面影响的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2、在公司拉帮结派，造成不良风气，被2人及以上举报证实的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3、威胁恐吓同事，被举报证实的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4、带情绪工作（含抱怨公司/上司）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5、推诿责任，不服从上级安排的工作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6、若员工有以上5项中任意一条及其他一切违背公司价值观及公序良俗的行为，一经发现，立即开除</t>
    </r>
  </si>
  <si>
    <t>周树梧</t>
  </si>
  <si>
    <t>【锦诺】APP：首页-直播提醒弹窗 支持H5弹窗；支持设置提醒频率</t>
  </si>
  <si>
    <t>按时完成开发、上线</t>
  </si>
  <si>
    <t>app商城个人中心切换商家和显示商家效果展示一致</t>
  </si>
  <si>
    <t>APP：未绑定门店客户，引导扫码绑定</t>
  </si>
  <si>
    <t>按时完成开发</t>
  </si>
  <si>
    <t>【定开】【田猫优选】购买有礼新增消费有礼活动子类型</t>
  </si>
  <si>
    <t>app账号设置新增检查版本和安装X5内容</t>
  </si>
  <si>
    <t>根据配置实现版本更新和安装X5</t>
  </si>
  <si>
    <t>完成任务，提取公共函数模块</t>
  </si>
  <si>
    <t>https://www.tapd.cn/tapd_fe/50372234/bug/list?filter=current_owner="周树梧" and version_report="线上版本" and created="2026-02-01~2026-02-28"</t>
  </si>
  <si>
    <t>https://www.tapd.cn/tapd_fe/50372234/bug/list?filter=current_owner="周树梧" and version_report="测试版本" and created="2026-02-01~2026-02-28"</t>
  </si>
  <si>
    <t>模块构建配置支持原生私域直播</t>
  </si>
  <si>
    <t>冒烟，保证功能流程正常，正常提测</t>
  </si>
  <si>
    <t>图文导航支持一键授权成为推客</t>
  </si>
  <si>
    <t>订单结算跨境海淘组合商品优化</t>
  </si>
  <si>
    <t>小程序构建优化-不包含原生直播的版本清理冗余依赖</t>
  </si>
  <si>
    <t>https://www.tapd.cn/50372234/markdown_wikis/show/#1150372234001012696</t>
  </si>
  <si>
    <t>锁客优化-新增通用业务分享落地页&amp;支持重定向跳转</t>
  </si>
  <si>
    <t>https://www.tapd.cn/50372234/markdown_wikis/show/#1150372234001012695</t>
  </si>
  <si>
    <t>【一品一播】附近的店，支持自定义配置</t>
  </si>
  <si>
    <t xml:space="preserve">       </t>
  </si>
  <si>
    <t>1、微页面组件新增跳转积分商品；2【家有良物】分类模板排序显示优化；3、合集分享卡</t>
  </si>
  <si>
    <t>APP推送升级弹窗交互调整：升级弹窗不受底部虚拟、物理导航，手势导航影响关闭</t>
  </si>
  <si>
    <t>APP：直播个人中心，身份认领支持配置是否展示</t>
  </si>
  <si>
    <t>优选联盟：1、选品中心选品交互优化；2、商品支持隐藏分组</t>
  </si>
  <si>
    <t>APP打包流程熟悉和app开发</t>
  </si>
  <si>
    <t>https://www.tapd.cn/50372234/markdown_wikis/show/#1150372234001012676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</si>
</sst>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73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2"/>
      <name val="微软雅黑"/>
      <charset val="134"/>
    </font>
    <font>
      <b/>
      <u/>
      <sz val="12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Microsoft YaHei Regular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b/>
      <sz val="14"/>
      <color rgb="FF000000"/>
      <name val="宋体"/>
      <charset val="134"/>
      <scheme val="minor"/>
    </font>
    <font>
      <sz val="12"/>
      <name val="等线"/>
      <charset val="134"/>
    </font>
    <font>
      <b/>
      <sz val="12"/>
      <color rgb="FF000000"/>
      <name val="宋体"/>
      <charset val="134"/>
      <scheme val="minor"/>
    </font>
    <font>
      <b/>
      <u/>
      <sz val="12"/>
      <color rgb="FF000000"/>
      <name val="宋体"/>
      <charset val="134"/>
      <scheme val="minor"/>
    </font>
    <font>
      <b/>
      <sz val="12"/>
      <color rgb="FF000000"/>
      <name val="Helvetica Neue"/>
      <charset val="134"/>
    </font>
    <font>
      <sz val="11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2"/>
      <color rgb="FF000000"/>
      <name val="宋体-简"/>
      <charset val="134"/>
    </font>
    <font>
      <sz val="11"/>
      <color rgb="FF000000"/>
      <name val="宋体"/>
      <charset val="134"/>
    </font>
    <font>
      <sz val="11"/>
      <name val="等线"/>
      <charset val="134"/>
    </font>
    <font>
      <b/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rgb="FFFF0000"/>
      <name val="等线"/>
      <charset val="134"/>
    </font>
    <font>
      <sz val="10"/>
      <name val="宋体"/>
      <charset val="134"/>
      <scheme val="minor"/>
    </font>
    <font>
      <b/>
      <sz val="12"/>
      <name val="等线"/>
      <charset val="134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b/>
      <u/>
      <sz val="12"/>
      <name val="宋体"/>
      <charset val="134"/>
      <scheme val="minor"/>
    </font>
    <font>
      <b/>
      <sz val="11"/>
      <name val="等线"/>
      <charset val="134"/>
    </font>
    <font>
      <b/>
      <sz val="11"/>
      <color rgb="FF000000"/>
      <name val="Helvetica Neue"/>
      <charset val="134"/>
    </font>
    <font>
      <b/>
      <u/>
      <sz val="14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name val="宋体"/>
      <charset val="0"/>
      <scheme val="minor"/>
    </font>
    <font>
      <b/>
      <sz val="11"/>
      <color theme="1"/>
      <name val="微软雅黑"/>
      <charset val="134"/>
    </font>
    <font>
      <b/>
      <sz val="1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  <font>
      <sz val="11"/>
      <color rgb="FF000000"/>
      <name val="等线"/>
      <charset val="134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3" fillId="0" borderId="0">
      <alignment vertical="center"/>
    </xf>
    <xf numFmtId="0" fontId="0" fillId="6" borderId="23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54" fillId="0" borderId="0">
      <alignment vertical="center"/>
    </xf>
    <xf numFmtId="0" fontId="55" fillId="0" borderId="24">
      <alignment vertical="center"/>
    </xf>
    <xf numFmtId="0" fontId="56" fillId="0" borderId="24">
      <alignment vertical="center"/>
    </xf>
    <xf numFmtId="0" fontId="57" fillId="0" borderId="25">
      <alignment vertical="center"/>
    </xf>
    <xf numFmtId="0" fontId="57" fillId="0" borderId="0">
      <alignment vertical="center"/>
    </xf>
    <xf numFmtId="0" fontId="58" fillId="7" borderId="26">
      <alignment vertical="center"/>
    </xf>
    <xf numFmtId="0" fontId="59" fillId="8" borderId="27">
      <alignment vertical="center"/>
    </xf>
    <xf numFmtId="0" fontId="60" fillId="8" borderId="26">
      <alignment vertical="center"/>
    </xf>
    <xf numFmtId="0" fontId="61" fillId="9" borderId="28">
      <alignment vertical="center"/>
    </xf>
    <xf numFmtId="0" fontId="62" fillId="0" borderId="29">
      <alignment vertical="center"/>
    </xf>
    <xf numFmtId="0" fontId="63" fillId="0" borderId="30">
      <alignment vertical="center"/>
    </xf>
    <xf numFmtId="0" fontId="64" fillId="10" borderId="0">
      <alignment vertical="center"/>
    </xf>
    <xf numFmtId="0" fontId="65" fillId="11" borderId="0">
      <alignment vertical="center"/>
    </xf>
    <xf numFmtId="0" fontId="66" fillId="12" borderId="0">
      <alignment vertical="center"/>
    </xf>
    <xf numFmtId="0" fontId="67" fillId="13" borderId="0">
      <alignment vertical="center"/>
    </xf>
    <xf numFmtId="0" fontId="68" fillId="14" borderId="0">
      <alignment vertical="center"/>
    </xf>
    <xf numFmtId="0" fontId="68" fillId="15" borderId="0">
      <alignment vertical="center"/>
    </xf>
    <xf numFmtId="0" fontId="67" fillId="16" borderId="0">
      <alignment vertical="center"/>
    </xf>
    <xf numFmtId="0" fontId="67" fillId="17" borderId="0">
      <alignment vertical="center"/>
    </xf>
    <xf numFmtId="0" fontId="68" fillId="18" borderId="0">
      <alignment vertical="center"/>
    </xf>
    <xf numFmtId="0" fontId="68" fillId="19" borderId="0">
      <alignment vertical="center"/>
    </xf>
    <xf numFmtId="0" fontId="67" fillId="20" borderId="0">
      <alignment vertical="center"/>
    </xf>
    <xf numFmtId="0" fontId="67" fillId="21" borderId="0">
      <alignment vertical="center"/>
    </xf>
    <xf numFmtId="0" fontId="68" fillId="22" borderId="0">
      <alignment vertical="center"/>
    </xf>
    <xf numFmtId="0" fontId="68" fillId="23" borderId="0">
      <alignment vertical="center"/>
    </xf>
    <xf numFmtId="0" fontId="67" fillId="24" borderId="0">
      <alignment vertical="center"/>
    </xf>
    <xf numFmtId="0" fontId="67" fillId="25" borderId="0">
      <alignment vertical="center"/>
    </xf>
    <xf numFmtId="0" fontId="68" fillId="26" borderId="0">
      <alignment vertical="center"/>
    </xf>
    <xf numFmtId="0" fontId="68" fillId="27" borderId="0">
      <alignment vertical="center"/>
    </xf>
    <xf numFmtId="0" fontId="67" fillId="28" borderId="0">
      <alignment vertical="center"/>
    </xf>
    <xf numFmtId="0" fontId="67" fillId="29" borderId="0">
      <alignment vertical="center"/>
    </xf>
    <xf numFmtId="0" fontId="68" fillId="30" borderId="0">
      <alignment vertical="center"/>
    </xf>
    <xf numFmtId="0" fontId="68" fillId="31" borderId="0">
      <alignment vertical="center"/>
    </xf>
    <xf numFmtId="0" fontId="67" fillId="32" borderId="0">
      <alignment vertical="center"/>
    </xf>
    <xf numFmtId="0" fontId="67" fillId="33" borderId="0">
      <alignment vertical="center"/>
    </xf>
    <xf numFmtId="0" fontId="68" fillId="34" borderId="0">
      <alignment vertical="center"/>
    </xf>
    <xf numFmtId="0" fontId="68" fillId="35" borderId="0">
      <alignment vertical="center"/>
    </xf>
    <xf numFmtId="0" fontId="67" fillId="36" borderId="0">
      <alignment vertical="center"/>
    </xf>
    <xf numFmtId="0" fontId="0" fillId="0" borderId="0"/>
    <xf numFmtId="0" fontId="69" fillId="0" borderId="0">
      <alignment vertical="center"/>
    </xf>
  </cellStyleXfs>
  <cellXfs count="272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12" fillId="0" borderId="0" xfId="0" applyFont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12" fillId="0" borderId="0" xfId="0" applyFont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14" fontId="16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9" fontId="17" fillId="0" borderId="1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2" borderId="12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vertical="center" wrapText="1"/>
    </xf>
    <xf numFmtId="0" fontId="27" fillId="0" borderId="12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30" fillId="2" borderId="14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 wrapText="1"/>
    </xf>
    <xf numFmtId="0" fontId="29" fillId="0" borderId="14" xfId="0" applyFont="1" applyFill="1" applyBorder="1" applyAlignment="1">
      <alignment horizontal="center"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31" fillId="0" borderId="12" xfId="0" applyFont="1" applyFill="1" applyBorder="1" applyAlignment="1">
      <alignment horizontal="left" vertical="center" wrapText="1"/>
    </xf>
    <xf numFmtId="0" fontId="32" fillId="0" borderId="17" xfId="0" applyFont="1" applyFill="1" applyBorder="1" applyAlignment="1">
      <alignment vertical="center"/>
    </xf>
    <xf numFmtId="0" fontId="23" fillId="0" borderId="12" xfId="0" applyFont="1" applyFill="1" applyBorder="1" applyAlignment="1">
      <alignment horizontal="center" vertical="center" wrapText="1"/>
    </xf>
    <xf numFmtId="0" fontId="33" fillId="2" borderId="15" xfId="0" applyFont="1" applyFill="1" applyBorder="1" applyAlignment="1">
      <alignment horizontal="center" vertical="center" wrapText="1"/>
    </xf>
    <xf numFmtId="0" fontId="33" fillId="2" borderId="16" xfId="0" applyFont="1" applyFill="1" applyBorder="1" applyAlignment="1">
      <alignment horizontal="center" vertical="center" wrapText="1"/>
    </xf>
    <xf numFmtId="0" fontId="34" fillId="0" borderId="16" xfId="0" applyFont="1" applyFill="1" applyBorder="1" applyAlignment="1">
      <alignment horizontal="left" vertical="center" wrapText="1"/>
    </xf>
    <xf numFmtId="0" fontId="35" fillId="0" borderId="16" xfId="0" applyFont="1" applyFill="1" applyBorder="1" applyAlignment="1">
      <alignment horizontal="center" vertical="center" wrapText="1"/>
    </xf>
    <xf numFmtId="0" fontId="35" fillId="0" borderId="16" xfId="0" applyFont="1" applyFill="1" applyBorder="1" applyAlignment="1">
      <alignment horizontal="right" vertical="center" wrapText="1"/>
    </xf>
    <xf numFmtId="0" fontId="28" fillId="0" borderId="16" xfId="0" applyFont="1" applyFill="1" applyBorder="1" applyAlignment="1">
      <alignment horizontal="center" vertical="center"/>
    </xf>
    <xf numFmtId="0" fontId="33" fillId="0" borderId="12" xfId="0" applyFont="1" applyFill="1" applyBorder="1" applyAlignment="1">
      <alignment horizontal="center" vertical="center" wrapText="1"/>
    </xf>
    <xf numFmtId="0" fontId="33" fillId="0" borderId="12" xfId="0" applyFont="1" applyFill="1" applyBorder="1" applyAlignment="1">
      <alignment vertical="center" wrapText="1"/>
    </xf>
    <xf numFmtId="0" fontId="23" fillId="0" borderId="12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left" vertical="center" wrapText="1"/>
    </xf>
    <xf numFmtId="9" fontId="26" fillId="2" borderId="12" xfId="0" applyNumberFormat="1" applyFont="1" applyFill="1" applyBorder="1" applyAlignment="1">
      <alignment horizontal="center" vertical="center" wrapText="1"/>
    </xf>
    <xf numFmtId="0" fontId="29" fillId="0" borderId="12" xfId="0" applyFont="1" applyFill="1" applyBorder="1" applyAlignment="1">
      <alignment vertical="center" wrapText="1"/>
    </xf>
    <xf numFmtId="0" fontId="36" fillId="0" borderId="12" xfId="0" applyFont="1" applyFill="1" applyBorder="1" applyAlignment="1">
      <alignment horizontal="right" vertical="center" wrapText="1"/>
    </xf>
    <xf numFmtId="0" fontId="37" fillId="0" borderId="12" xfId="0" applyFont="1" applyFill="1" applyBorder="1" applyAlignment="1">
      <alignment vertical="center"/>
    </xf>
    <xf numFmtId="0" fontId="19" fillId="0" borderId="12" xfId="0" applyFont="1" applyFill="1" applyBorder="1" applyAlignment="1">
      <alignment vertical="center"/>
    </xf>
    <xf numFmtId="0" fontId="38" fillId="0" borderId="12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4" fontId="38" fillId="0" borderId="12" xfId="0" applyNumberFormat="1" applyFont="1" applyFill="1" applyBorder="1" applyAlignment="1">
      <alignment horizontal="center" vertical="center"/>
    </xf>
    <xf numFmtId="0" fontId="38" fillId="0" borderId="12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vertical="center" wrapText="1"/>
    </xf>
    <xf numFmtId="0" fontId="27" fillId="0" borderId="0" xfId="0" applyFont="1" applyFill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9" fillId="2" borderId="12" xfId="0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0" fontId="20" fillId="0" borderId="0" xfId="0" applyFont="1" applyAlignment="1">
      <alignment vertical="center"/>
    </xf>
    <xf numFmtId="0" fontId="40" fillId="2" borderId="12" xfId="0" applyFont="1" applyFill="1" applyBorder="1" applyAlignment="1">
      <alignment horizontal="center" vertical="center"/>
    </xf>
    <xf numFmtId="0" fontId="41" fillId="2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40" fillId="2" borderId="12" xfId="0" applyFont="1" applyFill="1" applyBorder="1" applyAlignment="1">
      <alignment horizontal="center" vertical="center" wrapText="1"/>
    </xf>
    <xf numFmtId="0" fontId="40" fillId="2" borderId="14" xfId="0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2" xfId="0" applyFont="1" applyBorder="1" applyAlignment="1">
      <alignment vertical="center" wrapText="1"/>
    </xf>
    <xf numFmtId="0" fontId="27" fillId="4" borderId="12" xfId="0" applyFont="1" applyFill="1" applyBorder="1" applyAlignment="1">
      <alignment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0" fillId="0" borderId="15" xfId="0" applyBorder="1" applyAlignment="1"/>
    <xf numFmtId="0" fontId="27" fillId="0" borderId="14" xfId="0" applyFont="1" applyBorder="1" applyAlignment="1">
      <alignment vertical="center" wrapText="1"/>
    </xf>
    <xf numFmtId="0" fontId="40" fillId="2" borderId="20" xfId="0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17" fillId="0" borderId="0" xfId="6">
      <alignment vertical="center"/>
    </xf>
    <xf numFmtId="0" fontId="0" fillId="0" borderId="21" xfId="0" applyBorder="1" applyAlignment="1"/>
    <xf numFmtId="0" fontId="42" fillId="0" borderId="14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/>
    </xf>
    <xf numFmtId="0" fontId="27" fillId="0" borderId="16" xfId="0" applyFont="1" applyBorder="1" applyAlignment="1">
      <alignment vertical="center" wrapText="1"/>
    </xf>
    <xf numFmtId="0" fontId="42" fillId="0" borderId="12" xfId="0" applyFont="1" applyBorder="1" applyAlignment="1">
      <alignment horizontal="center" vertical="center"/>
    </xf>
    <xf numFmtId="0" fontId="0" fillId="0" borderId="16" xfId="0" applyBorder="1" applyAlignment="1"/>
    <xf numFmtId="0" fontId="27" fillId="0" borderId="15" xfId="0" applyFont="1" applyBorder="1" applyAlignment="1">
      <alignment vertical="center" wrapText="1"/>
    </xf>
    <xf numFmtId="0" fontId="0" fillId="0" borderId="17" xfId="0" applyBorder="1" applyAlignment="1"/>
    <xf numFmtId="0" fontId="27" fillId="0" borderId="20" xfId="0" applyFont="1" applyBorder="1" applyAlignment="1">
      <alignment vertical="center" wrapText="1"/>
    </xf>
    <xf numFmtId="0" fontId="33" fillId="2" borderId="16" xfId="0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vertical="center" wrapText="1"/>
    </xf>
    <xf numFmtId="9" fontId="27" fillId="2" borderId="12" xfId="0" applyNumberFormat="1" applyFont="1" applyFill="1" applyBorder="1" applyAlignment="1">
      <alignment horizontal="center" vertical="center" wrapText="1"/>
    </xf>
    <xf numFmtId="0" fontId="40" fillId="2" borderId="12" xfId="0" applyFont="1" applyFill="1" applyBorder="1" applyAlignment="1">
      <alignment vertical="center" wrapText="1"/>
    </xf>
    <xf numFmtId="0" fontId="33" fillId="0" borderId="12" xfId="0" applyFont="1" applyBorder="1" applyAlignment="1">
      <alignment horizontal="right" vertical="center" wrapText="1"/>
    </xf>
    <xf numFmtId="0" fontId="40" fillId="0" borderId="12" xfId="0" applyFont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19" fillId="0" borderId="14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7" fillId="0" borderId="19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2" borderId="1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left" vertical="center" wrapText="1"/>
    </xf>
    <xf numFmtId="0" fontId="43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center" vertical="center"/>
    </xf>
    <xf numFmtId="0" fontId="31" fillId="0" borderId="12" xfId="0" applyFont="1" applyBorder="1" applyAlignment="1">
      <alignment horizontal="left" vertical="center"/>
    </xf>
    <xf numFmtId="0" fontId="29" fillId="0" borderId="14" xfId="0" applyFont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1" fillId="0" borderId="12" xfId="0" applyFont="1" applyBorder="1" applyAlignment="1">
      <alignment vertical="center"/>
    </xf>
    <xf numFmtId="0" fontId="26" fillId="0" borderId="14" xfId="0" applyFont="1" applyBorder="1" applyAlignment="1">
      <alignment horizontal="left" vertical="center" wrapText="1"/>
    </xf>
    <xf numFmtId="0" fontId="31" fillId="0" borderId="14" xfId="0" applyFont="1" applyBorder="1" applyAlignment="1">
      <alignment vertical="center"/>
    </xf>
    <xf numFmtId="0" fontId="31" fillId="0" borderId="1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center" vertical="center" wrapText="1"/>
    </xf>
    <xf numFmtId="0" fontId="32" fillId="0" borderId="17" xfId="0" applyFont="1" applyBorder="1" applyAlignment="1">
      <alignment vertical="center"/>
    </xf>
    <xf numFmtId="0" fontId="23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left" vertical="center" wrapText="1"/>
    </xf>
    <xf numFmtId="0" fontId="33" fillId="2" borderId="15" xfId="0" applyFont="1" applyFill="1" applyBorder="1" applyAlignment="1">
      <alignment horizontal="center" vertical="center" wrapText="1"/>
    </xf>
    <xf numFmtId="0" fontId="34" fillId="0" borderId="16" xfId="0" applyFont="1" applyBorder="1" applyAlignment="1">
      <alignment horizontal="left" vertical="center" wrapText="1"/>
    </xf>
    <xf numFmtId="0" fontId="0" fillId="0" borderId="22" xfId="0" applyBorder="1" applyAlignment="1"/>
    <xf numFmtId="0" fontId="35" fillId="0" borderId="16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righ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vertical="center" wrapText="1"/>
    </xf>
    <xf numFmtId="0" fontId="23" fillId="0" borderId="12" xfId="0" applyFont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left" vertical="center" wrapText="1"/>
    </xf>
    <xf numFmtId="9" fontId="26" fillId="2" borderId="12" xfId="0" applyNumberFormat="1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vertical="center" wrapText="1"/>
    </xf>
    <xf numFmtId="0" fontId="36" fillId="0" borderId="12" xfId="0" applyFont="1" applyBorder="1" applyAlignment="1">
      <alignment horizontal="right" vertical="center" wrapText="1"/>
    </xf>
    <xf numFmtId="0" fontId="38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4" fontId="38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 wrapText="1"/>
    </xf>
    <xf numFmtId="0" fontId="38" fillId="0" borderId="12" xfId="0" applyFont="1" applyBorder="1" applyAlignment="1">
      <alignment vertical="center" wrapText="1"/>
    </xf>
    <xf numFmtId="0" fontId="27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7" fillId="0" borderId="1" xfId="6" applyBorder="1" applyAlignment="1">
      <alignment horizontal="center" vertical="center" wrapText="1"/>
    </xf>
    <xf numFmtId="0" fontId="17" fillId="0" borderId="0" xfId="6" applyAlignment="1">
      <alignment vertical="center"/>
    </xf>
    <xf numFmtId="0" fontId="15" fillId="0" borderId="12" xfId="0" applyFont="1" applyBorder="1" applyAlignment="1">
      <alignment horizontal="left" vertical="center" wrapText="1"/>
    </xf>
    <xf numFmtId="0" fontId="44" fillId="2" borderId="1" xfId="0" applyFont="1" applyFill="1" applyBorder="1" applyAlignment="1">
      <alignment horizontal="center" vertical="center"/>
    </xf>
    <xf numFmtId="0" fontId="45" fillId="2" borderId="6" xfId="0" applyFont="1" applyFill="1" applyBorder="1" applyAlignment="1">
      <alignment horizontal="center" vertical="center"/>
    </xf>
    <xf numFmtId="0" fontId="45" fillId="2" borderId="6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8" fillId="0" borderId="1" xfId="6" applyFont="1" applyBorder="1" applyAlignment="1">
      <alignment horizontal="center" vertical="center"/>
    </xf>
    <xf numFmtId="176" fontId="46" fillId="0" borderId="1" xfId="0" applyNumberFormat="1" applyFont="1" applyBorder="1" applyAlignment="1">
      <alignment horizontal="center" vertical="center"/>
    </xf>
    <xf numFmtId="176" fontId="47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 wrapText="1"/>
    </xf>
    <xf numFmtId="0" fontId="49" fillId="2" borderId="1" xfId="0" applyFont="1" applyFill="1" applyBorder="1" applyAlignment="1">
      <alignment horizontal="center" vertical="center"/>
    </xf>
    <xf numFmtId="43" fontId="49" fillId="2" borderId="1" xfId="0" applyNumberFormat="1" applyFont="1" applyFill="1" applyBorder="1" applyAlignment="1">
      <alignment horizontal="center" vertical="center"/>
    </xf>
    <xf numFmtId="43" fontId="49" fillId="2" borderId="1" xfId="0" applyNumberFormat="1" applyFont="1" applyFill="1" applyBorder="1" applyAlignment="1">
      <alignment vertical="center"/>
    </xf>
    <xf numFmtId="0" fontId="50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9" fontId="49" fillId="2" borderId="1" xfId="0" applyNumberFormat="1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5" borderId="1" xfId="0" applyFont="1" applyFill="1" applyBorder="1" applyAlignment="1">
      <alignment horizontal="center" vertical="center"/>
    </xf>
    <xf numFmtId="9" fontId="51" fillId="5" borderId="1" xfId="3" applyFont="1" applyFill="1" applyBorder="1" applyAlignment="1">
      <alignment horizontal="center" vertical="center"/>
    </xf>
    <xf numFmtId="0" fontId="51" fillId="0" borderId="1" xfId="0" applyFont="1" applyBorder="1" applyAlignment="1">
      <alignment vertical="center"/>
    </xf>
    <xf numFmtId="9" fontId="51" fillId="5" borderId="1" xfId="0" applyNumberFormat="1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vertical="center"/>
    </xf>
    <xf numFmtId="9" fontId="51" fillId="0" borderId="1" xfId="0" applyNumberFormat="1" applyFont="1" applyBorder="1" applyAlignment="1">
      <alignment horizontal="center" vertical="center"/>
    </xf>
    <xf numFmtId="0" fontId="47" fillId="2" borderId="12" xfId="0" applyFont="1" applyFill="1" applyBorder="1" applyAlignment="1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4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469265</xdr:colOff>
      <xdr:row>2</xdr:row>
      <xdr:rowOff>136525</xdr:rowOff>
    </xdr:from>
    <xdr:to>
      <xdr:col>18</xdr:col>
      <xdr:colOff>62865</xdr:colOff>
      <xdr:row>15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9255" y="603885"/>
          <a:ext cx="5994400" cy="281813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8</xdr:col>
      <xdr:colOff>469265</xdr:colOff>
      <xdr:row>2</xdr:row>
      <xdr:rowOff>136525</xdr:rowOff>
    </xdr:from>
    <xdr:to>
      <xdr:col>18</xdr:col>
      <xdr:colOff>62865</xdr:colOff>
      <xdr:row>15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9255" y="603885"/>
          <a:ext cx="5994400" cy="281813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pd.cn/tapd_fe/50372234/bug/list?filter=current_owner=&quot;&#21016;&#23376;&#26161;&quot; and version_report=&quot;&#27979;&#35797;&#29256;&#26412;&quot; and created=&quot;2026-02-01~2026-02-28&quot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H13" sqref="H13"/>
    </sheetView>
  </sheetViews>
  <sheetFormatPr defaultColWidth="9" defaultRowHeight="16.8" outlineLevelCol="7"/>
  <cols>
    <col min="1" max="2" width="9" customWidth="1"/>
    <col min="3" max="3" width="12.2321428571429" customWidth="1"/>
    <col min="4" max="4" width="16.875" customWidth="1"/>
    <col min="5" max="6" width="13.4642857142857" customWidth="1"/>
    <col min="7" max="7" width="12" customWidth="1"/>
    <col min="8" max="8" width="73.5535714285714" customWidth="1"/>
    <col min="9" max="16384" width="9" customWidth="1"/>
  </cols>
  <sheetData>
    <row r="1" customFormat="1" ht="20" customHeight="1" spans="1:8">
      <c r="A1" s="247" t="s">
        <v>0</v>
      </c>
      <c r="B1" s="3"/>
      <c r="C1" s="3"/>
      <c r="D1" s="3"/>
      <c r="E1" s="3"/>
      <c r="F1" s="3"/>
      <c r="G1" s="3"/>
      <c r="H1" s="4"/>
    </row>
    <row r="2" customFormat="1" spans="1:8">
      <c r="A2" s="248" t="s">
        <v>1</v>
      </c>
      <c r="B2" s="248" t="s">
        <v>2</v>
      </c>
      <c r="C2" s="248" t="s">
        <v>3</v>
      </c>
      <c r="D2" s="248" t="s">
        <v>4</v>
      </c>
      <c r="E2" s="248" t="s">
        <v>5</v>
      </c>
      <c r="F2" s="248" t="s">
        <v>6</v>
      </c>
      <c r="G2" s="248" t="s">
        <v>7</v>
      </c>
      <c r="H2" s="249" t="s">
        <v>8</v>
      </c>
    </row>
    <row r="3" customFormat="1" spans="1:8">
      <c r="A3" s="250">
        <v>1</v>
      </c>
      <c r="B3" s="251" t="s">
        <v>9</v>
      </c>
      <c r="C3" s="252" t="s">
        <v>10</v>
      </c>
      <c r="D3" s="253" t="s">
        <v>11</v>
      </c>
      <c r="E3" s="254">
        <v>80</v>
      </c>
      <c r="F3" s="255">
        <v>0.8</v>
      </c>
      <c r="G3" s="255"/>
      <c r="H3" s="256"/>
    </row>
    <row r="4" customFormat="1" spans="1:8">
      <c r="A4" s="250">
        <v>2</v>
      </c>
      <c r="B4" s="20"/>
      <c r="C4" s="252" t="s">
        <v>12</v>
      </c>
      <c r="D4" s="253" t="s">
        <v>13</v>
      </c>
      <c r="E4" s="254">
        <v>100</v>
      </c>
      <c r="F4" s="255">
        <v>1</v>
      </c>
      <c r="G4" s="255"/>
      <c r="H4" s="256"/>
    </row>
    <row r="5" customFormat="1" spans="1:8">
      <c r="A5" s="250">
        <v>3</v>
      </c>
      <c r="B5" s="20"/>
      <c r="C5" s="252" t="s">
        <v>12</v>
      </c>
      <c r="D5" s="253" t="s">
        <v>14</v>
      </c>
      <c r="E5" s="254">
        <v>105</v>
      </c>
      <c r="F5" s="255">
        <v>1</v>
      </c>
      <c r="G5" s="255"/>
      <c r="H5" s="256"/>
    </row>
    <row r="6" customFormat="1" spans="1:8">
      <c r="A6" s="250">
        <v>4</v>
      </c>
      <c r="B6" s="20"/>
      <c r="C6" s="252" t="s">
        <v>12</v>
      </c>
      <c r="D6" s="253" t="s">
        <v>15</v>
      </c>
      <c r="E6" s="254">
        <v>97</v>
      </c>
      <c r="F6" s="255">
        <v>1</v>
      </c>
      <c r="G6" s="255"/>
      <c r="H6" s="256"/>
    </row>
    <row r="7" customFormat="1" spans="1:8">
      <c r="A7" s="250">
        <v>5</v>
      </c>
      <c r="B7" s="20"/>
      <c r="C7" s="252" t="s">
        <v>12</v>
      </c>
      <c r="D7" s="253" t="s">
        <v>16</v>
      </c>
      <c r="E7" s="254">
        <v>96</v>
      </c>
      <c r="F7" s="255">
        <v>1</v>
      </c>
      <c r="G7" s="255"/>
      <c r="H7" s="256"/>
    </row>
    <row r="8" customFormat="1" spans="1:8">
      <c r="A8" s="250">
        <v>6</v>
      </c>
      <c r="B8" s="20"/>
      <c r="C8" s="252" t="s">
        <v>12</v>
      </c>
      <c r="D8" s="253" t="s">
        <v>17</v>
      </c>
      <c r="E8" s="254">
        <v>100</v>
      </c>
      <c r="F8" s="255">
        <v>1</v>
      </c>
      <c r="G8" s="255"/>
      <c r="H8" s="256"/>
    </row>
    <row r="9" customFormat="1" spans="1:8">
      <c r="A9" s="250">
        <v>7</v>
      </c>
      <c r="B9" s="20"/>
      <c r="C9" s="252" t="s">
        <v>12</v>
      </c>
      <c r="D9" s="253" t="s">
        <v>18</v>
      </c>
      <c r="E9" s="254">
        <v>80</v>
      </c>
      <c r="F9" s="255">
        <v>0.8</v>
      </c>
      <c r="G9" s="255"/>
      <c r="H9" s="256" t="s">
        <v>19</v>
      </c>
    </row>
    <row r="10" customFormat="1" spans="1:8">
      <c r="A10" s="250">
        <v>8</v>
      </c>
      <c r="B10" s="20"/>
      <c r="C10" s="252" t="s">
        <v>12</v>
      </c>
      <c r="D10" s="253" t="s">
        <v>20</v>
      </c>
      <c r="E10" s="254">
        <v>108</v>
      </c>
      <c r="F10" s="255">
        <v>1.1</v>
      </c>
      <c r="G10" s="255"/>
      <c r="H10" s="256" t="s">
        <v>21</v>
      </c>
    </row>
    <row r="11" customFormat="1" spans="1:8">
      <c r="A11" s="250">
        <v>9</v>
      </c>
      <c r="B11" s="20"/>
      <c r="C11" s="252" t="s">
        <v>12</v>
      </c>
      <c r="D11" s="253" t="s">
        <v>22</v>
      </c>
      <c r="E11" s="254">
        <v>110</v>
      </c>
      <c r="F11" s="255">
        <v>1.1</v>
      </c>
      <c r="G11" s="255"/>
      <c r="H11" s="256" t="s">
        <v>21</v>
      </c>
    </row>
    <row r="12" customFormat="1" spans="1:8">
      <c r="A12" s="250">
        <v>10</v>
      </c>
      <c r="B12" s="20"/>
      <c r="C12" s="252" t="s">
        <v>12</v>
      </c>
      <c r="D12" s="253" t="s">
        <v>23</v>
      </c>
      <c r="E12" s="254">
        <v>96</v>
      </c>
      <c r="F12" s="255">
        <v>1</v>
      </c>
      <c r="G12" s="255"/>
      <c r="H12" s="256"/>
    </row>
    <row r="13" customFormat="1" spans="1:8">
      <c r="A13" s="250">
        <v>11</v>
      </c>
      <c r="B13" s="20"/>
      <c r="C13" s="252" t="s">
        <v>12</v>
      </c>
      <c r="D13" s="253" t="s">
        <v>24</v>
      </c>
      <c r="E13" s="254">
        <v>96</v>
      </c>
      <c r="F13" s="255">
        <v>1</v>
      </c>
      <c r="G13" s="255"/>
      <c r="H13" s="256"/>
    </row>
    <row r="14" customFormat="1" spans="1:8">
      <c r="A14" s="250">
        <v>12</v>
      </c>
      <c r="B14" s="20"/>
      <c r="C14" s="252" t="s">
        <v>12</v>
      </c>
      <c r="D14" s="253" t="s">
        <v>25</v>
      </c>
      <c r="E14" s="254">
        <v>96</v>
      </c>
      <c r="F14" s="255">
        <v>1</v>
      </c>
      <c r="G14" s="255"/>
      <c r="H14" s="256"/>
    </row>
    <row r="15" customFormat="1" spans="1:8">
      <c r="A15" s="250">
        <v>13</v>
      </c>
      <c r="B15" s="20"/>
      <c r="C15" s="252"/>
      <c r="D15" s="253"/>
      <c r="E15" s="254"/>
      <c r="F15" s="255"/>
      <c r="G15" s="255"/>
      <c r="H15" s="256"/>
    </row>
    <row r="16" customFormat="1" spans="1:8">
      <c r="A16" s="250">
        <v>14</v>
      </c>
      <c r="B16" s="20"/>
      <c r="C16" s="252"/>
      <c r="D16" s="253"/>
      <c r="E16" s="254"/>
      <c r="F16" s="255"/>
      <c r="G16" s="255"/>
      <c r="H16" s="256"/>
    </row>
    <row r="17" customFormat="1" spans="1:8">
      <c r="A17" s="250">
        <v>15</v>
      </c>
      <c r="B17" s="20"/>
      <c r="C17" s="252"/>
      <c r="D17" s="253"/>
      <c r="E17" s="254"/>
      <c r="F17" s="255"/>
      <c r="G17" s="255"/>
      <c r="H17" s="256"/>
    </row>
    <row r="18" customFormat="1" spans="1:8">
      <c r="A18" s="250">
        <v>16</v>
      </c>
      <c r="B18" s="20"/>
      <c r="C18" s="252"/>
      <c r="D18" s="253"/>
      <c r="E18" s="254"/>
      <c r="F18" s="255"/>
      <c r="G18" s="255"/>
      <c r="H18" s="256"/>
    </row>
    <row r="19" customFormat="1" spans="1:8">
      <c r="A19" s="257" t="s">
        <v>26</v>
      </c>
      <c r="B19" s="3"/>
      <c r="C19" s="3"/>
      <c r="D19" s="4"/>
      <c r="E19" s="258">
        <f>AVERAGE(E3:E18)</f>
        <v>97</v>
      </c>
      <c r="F19" s="259">
        <f>AVERAGE(F3:F18)</f>
        <v>0.983333333333333</v>
      </c>
      <c r="G19" s="258"/>
      <c r="H19" s="260"/>
    </row>
    <row r="20" customFormat="1" spans="1:8">
      <c r="A20" s="261"/>
      <c r="B20" s="261"/>
      <c r="C20" s="261"/>
      <c r="D20" s="261"/>
      <c r="E20" s="261"/>
      <c r="F20" s="262"/>
      <c r="G20" s="262"/>
      <c r="H20" s="261"/>
    </row>
    <row r="21" customFormat="1" spans="1:8">
      <c r="A21" s="257" t="s">
        <v>27</v>
      </c>
      <c r="B21" s="3"/>
      <c r="C21" s="4"/>
      <c r="D21" s="263" t="s">
        <v>28</v>
      </c>
      <c r="E21" s="263" t="s">
        <v>29</v>
      </c>
      <c r="F21" s="263" t="s">
        <v>30</v>
      </c>
      <c r="G21" s="263"/>
      <c r="H21" s="257" t="s">
        <v>31</v>
      </c>
    </row>
    <row r="22" customFormat="1" spans="1:8">
      <c r="A22" s="257">
        <v>1</v>
      </c>
      <c r="B22" s="3"/>
      <c r="C22" s="4"/>
      <c r="D22" s="257">
        <f>COUNTIF(F3:F18,"&gt;1")</f>
        <v>2</v>
      </c>
      <c r="E22" s="257">
        <f>COUNTIF(F3:F18,"=1")</f>
        <v>8</v>
      </c>
      <c r="F22" s="257">
        <f>COUNTIF(F3:F18,"&lt;1")</f>
        <v>2</v>
      </c>
      <c r="G22" s="257"/>
      <c r="H22" s="257">
        <f>SUM(D22:F22)</f>
        <v>12</v>
      </c>
    </row>
    <row r="23" customFormat="1" spans="1:8">
      <c r="A23" s="264"/>
      <c r="B23" s="264"/>
      <c r="C23" s="265" t="s">
        <v>32</v>
      </c>
      <c r="D23" s="266">
        <f>D22/H22</f>
        <v>0.166666666666667</v>
      </c>
      <c r="E23" s="266">
        <f>E22/H22</f>
        <v>0.666666666666667</v>
      </c>
      <c r="F23" s="266">
        <f>F22/H22</f>
        <v>0.166666666666667</v>
      </c>
      <c r="G23" s="266"/>
      <c r="H23" s="265"/>
    </row>
    <row r="24" customFormat="1" spans="1:8">
      <c r="A24" s="267"/>
      <c r="B24" s="267"/>
      <c r="C24" s="265" t="s">
        <v>33</v>
      </c>
      <c r="D24" s="268">
        <v>0.1</v>
      </c>
      <c r="E24" s="268">
        <v>0.7</v>
      </c>
      <c r="F24" s="268">
        <v>0.2</v>
      </c>
      <c r="G24" s="268"/>
      <c r="H24" s="269"/>
    </row>
    <row r="25" customFormat="1" spans="1:8">
      <c r="A25" s="267"/>
      <c r="B25" s="267"/>
      <c r="C25" s="264"/>
      <c r="D25" s="270"/>
      <c r="E25" s="270"/>
      <c r="F25" s="270"/>
      <c r="G25" s="270"/>
      <c r="H25" s="267"/>
    </row>
    <row r="26" customFormat="1" ht="223" customHeight="1" spans="1:8">
      <c r="A26" s="271" t="s">
        <v>34</v>
      </c>
      <c r="B26" s="141"/>
      <c r="C26" s="141"/>
      <c r="D26" s="141"/>
      <c r="E26" s="141"/>
      <c r="F26" s="141"/>
      <c r="G26" s="141"/>
      <c r="H26" s="142"/>
    </row>
  </sheetData>
  <mergeCells count="6">
    <mergeCell ref="A1:H1"/>
    <mergeCell ref="A19:D19"/>
    <mergeCell ref="A21:C21"/>
    <mergeCell ref="A22:C22"/>
    <mergeCell ref="A26:H26"/>
    <mergeCell ref="B3:B18"/>
  </mergeCells>
  <conditionalFormatting sqref="H3">
    <cfRule type="duplicateValues" dxfId="0" priority="2"/>
  </conditionalFormatting>
  <conditionalFormatting sqref="H19">
    <cfRule type="duplicateValues" dxfId="0" priority="1"/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zoomScale="54" zoomScaleNormal="54" workbookViewId="0">
      <selection activeCell="I16" sqref="I16"/>
    </sheetView>
  </sheetViews>
  <sheetFormatPr defaultColWidth="9" defaultRowHeight="28.8"/>
  <cols>
    <col min="1" max="1" width="19.75" style="238" customWidth="1"/>
    <col min="2" max="2" width="19" style="238" customWidth="1"/>
    <col min="3" max="3" width="67.0714285714286" style="238" customWidth="1"/>
    <col min="4" max="4" width="58.1517857142857" style="238" customWidth="1"/>
    <col min="5" max="5" width="15.7678571428571" style="238" customWidth="1"/>
    <col min="6" max="6" width="55.5803571428571" style="238" customWidth="1"/>
    <col min="7" max="7" width="13.2678571428571" style="238" customWidth="1"/>
    <col min="8" max="8" width="20.125" style="238" customWidth="1"/>
    <col min="9" max="9" width="18.2767857142857" style="238" customWidth="1"/>
    <col min="10" max="10" width="19.9910714285714" style="238" customWidth="1"/>
    <col min="11" max="11" width="51.0982142857143" style="238" customWidth="1"/>
    <col min="12" max="26" width="9" style="238" customWidth="1"/>
  </cols>
  <sheetData>
    <row r="1" s="40" customFormat="1" ht="26.25" customHeight="1" spans="1:11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s="236" customFormat="1" ht="32.25" customHeight="1" spans="1:11">
      <c r="A2" s="5" t="s">
        <v>36</v>
      </c>
      <c r="B2" s="5" t="s">
        <v>11</v>
      </c>
      <c r="C2" s="5" t="s">
        <v>37</v>
      </c>
      <c r="D2" s="5" t="s">
        <v>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s="40" customFormat="1" ht="30" customHeight="1" spans="1:11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s="40" customFormat="1" ht="34" customHeight="1" spans="1:11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</row>
    <row r="5" s="237" customFormat="1" ht="83" customHeight="1" spans="1:11">
      <c r="A5" s="10" t="s">
        <v>53</v>
      </c>
      <c r="B5" s="239" t="s">
        <v>54</v>
      </c>
      <c r="C5" s="49" t="s">
        <v>55</v>
      </c>
      <c r="D5" s="49" t="s">
        <v>56</v>
      </c>
      <c r="E5" s="29" t="s">
        <v>57</v>
      </c>
      <c r="F5" s="240" t="s">
        <v>58</v>
      </c>
      <c r="G5" s="16">
        <v>30</v>
      </c>
      <c r="H5" s="241" t="s">
        <v>59</v>
      </c>
      <c r="I5" s="29">
        <v>25</v>
      </c>
      <c r="J5" s="18"/>
      <c r="K5" s="19"/>
    </row>
    <row r="6" s="40" customFormat="1" ht="124" customHeight="1" spans="1:11">
      <c r="A6" s="20"/>
      <c r="B6" s="30" t="s">
        <v>60</v>
      </c>
      <c r="C6" s="50" t="s">
        <v>61</v>
      </c>
      <c r="D6" s="49" t="s">
        <v>62</v>
      </c>
      <c r="E6" s="13" t="s">
        <v>57</v>
      </c>
      <c r="F6" s="21"/>
      <c r="G6" s="16">
        <v>20</v>
      </c>
      <c r="H6" s="242" t="s">
        <v>63</v>
      </c>
      <c r="I6" s="29">
        <v>15</v>
      </c>
      <c r="J6" s="18"/>
      <c r="K6" s="23"/>
    </row>
    <row r="7" s="40" customFormat="1" ht="117" customHeight="1" spans="1:11">
      <c r="A7" s="9" t="s">
        <v>64</v>
      </c>
      <c r="B7" s="41" t="s">
        <v>65</v>
      </c>
      <c r="C7" s="42" t="s">
        <v>66</v>
      </c>
      <c r="D7" s="42" t="s">
        <v>67</v>
      </c>
      <c r="E7" s="43" t="s">
        <v>57</v>
      </c>
      <c r="F7" s="44" t="s">
        <v>68</v>
      </c>
      <c r="G7" s="16">
        <v>10</v>
      </c>
      <c r="H7" s="243"/>
      <c r="I7" s="29">
        <v>10</v>
      </c>
      <c r="J7" s="18"/>
      <c r="K7" s="23"/>
    </row>
    <row r="8" s="40" customFormat="1" ht="156.75" customHeight="1" spans="1:11">
      <c r="A8" s="20"/>
      <c r="B8" s="41" t="s">
        <v>69</v>
      </c>
      <c r="C8" s="42" t="s">
        <v>70</v>
      </c>
      <c r="D8" s="42" t="s">
        <v>71</v>
      </c>
      <c r="E8" s="43" t="s">
        <v>57</v>
      </c>
      <c r="F8" s="44" t="s">
        <v>72</v>
      </c>
      <c r="G8" s="16">
        <v>10</v>
      </c>
      <c r="H8" s="244"/>
      <c r="I8" s="18">
        <v>10</v>
      </c>
      <c r="J8" s="18"/>
    </row>
    <row r="9" s="40" customFormat="1" ht="93" customHeight="1" spans="1:11">
      <c r="A9" s="20"/>
      <c r="B9" s="26" t="s">
        <v>73</v>
      </c>
      <c r="C9" s="46" t="s">
        <v>74</v>
      </c>
      <c r="D9" s="47" t="s">
        <v>75</v>
      </c>
      <c r="E9" s="15" t="s">
        <v>76</v>
      </c>
      <c r="F9" s="48" t="s">
        <v>77</v>
      </c>
      <c r="G9" s="16">
        <v>10</v>
      </c>
      <c r="H9" s="13"/>
      <c r="I9" s="18">
        <v>5</v>
      </c>
      <c r="J9" s="18"/>
      <c r="K9" s="245" t="s">
        <v>78</v>
      </c>
    </row>
    <row r="10" s="40" customFormat="1" ht="76.5" customHeight="1" spans="1:11">
      <c r="A10" s="20"/>
      <c r="B10" s="21"/>
      <c r="C10" s="49" t="s">
        <v>79</v>
      </c>
      <c r="D10" s="50" t="s">
        <v>80</v>
      </c>
      <c r="E10" s="30" t="s">
        <v>81</v>
      </c>
      <c r="F10" s="51" t="s">
        <v>82</v>
      </c>
      <c r="G10" s="16">
        <v>10</v>
      </c>
      <c r="H10" s="13"/>
      <c r="I10" s="18">
        <v>5</v>
      </c>
      <c r="J10" s="18"/>
      <c r="K10" t="s">
        <v>83</v>
      </c>
    </row>
    <row r="11" s="237" customFormat="1" ht="116" customHeight="1" spans="1:11">
      <c r="A11" s="21"/>
      <c r="B11" s="52" t="s">
        <v>84</v>
      </c>
      <c r="C11" s="53" t="s">
        <v>85</v>
      </c>
      <c r="D11" s="246" t="s">
        <v>86</v>
      </c>
      <c r="E11" s="55"/>
      <c r="F11" s="56"/>
      <c r="G11" s="57">
        <v>10</v>
      </c>
      <c r="H11" s="13"/>
      <c r="I11" s="18">
        <v>10</v>
      </c>
      <c r="J11" s="18"/>
    </row>
    <row r="12" s="40" customFormat="1" ht="39" customHeight="1" spans="1:11">
      <c r="A12" s="58" t="s">
        <v>87</v>
      </c>
      <c r="B12" s="59" t="s">
        <v>87</v>
      </c>
      <c r="C12" s="59" t="s">
        <v>88</v>
      </c>
      <c r="D12" s="3"/>
      <c r="E12" s="3"/>
      <c r="F12" s="4"/>
      <c r="G12" s="16"/>
      <c r="H12" s="13"/>
      <c r="I12" s="18"/>
      <c r="J12" s="18"/>
    </row>
    <row r="13" s="40" customFormat="1" ht="28" customHeight="1" spans="1:11">
      <c r="A13" s="5" t="s">
        <v>89</v>
      </c>
      <c r="B13" s="3"/>
      <c r="C13" s="3"/>
      <c r="D13" s="3"/>
      <c r="E13" s="3"/>
      <c r="F13" s="3"/>
      <c r="G13" s="3"/>
      <c r="H13" s="3"/>
      <c r="I13" s="3"/>
      <c r="J13" s="4"/>
    </row>
    <row r="14" s="40" customFormat="1" ht="34" customHeight="1" spans="1:11">
      <c r="A14" s="7" t="s">
        <v>43</v>
      </c>
      <c r="B14" s="7" t="s">
        <v>44</v>
      </c>
      <c r="C14" s="8" t="s">
        <v>45</v>
      </c>
      <c r="D14" s="8" t="s">
        <v>46</v>
      </c>
      <c r="E14" s="8" t="s">
        <v>47</v>
      </c>
      <c r="F14" s="9" t="s">
        <v>50</v>
      </c>
      <c r="G14" s="3"/>
      <c r="H14" s="4"/>
      <c r="I14" s="9" t="s">
        <v>51</v>
      </c>
      <c r="J14" s="9" t="s">
        <v>52</v>
      </c>
    </row>
    <row r="15" s="40" customFormat="1" ht="17.6" customHeight="1" spans="1:11">
      <c r="A15" s="61" t="s">
        <v>90</v>
      </c>
      <c r="B15" s="62" t="s">
        <v>91</v>
      </c>
      <c r="C15" s="63" t="s">
        <v>92</v>
      </c>
      <c r="D15" s="4"/>
      <c r="E15" s="64" t="s">
        <v>93</v>
      </c>
      <c r="F15" s="8"/>
      <c r="G15" s="3"/>
      <c r="H15" s="4"/>
      <c r="I15" s="65"/>
      <c r="J15" s="65"/>
    </row>
    <row r="16" s="40" customFormat="1" ht="29.25" customHeight="1" spans="1:11">
      <c r="A16" s="66"/>
      <c r="B16" s="3"/>
      <c r="C16" s="3"/>
      <c r="D16" s="3"/>
      <c r="E16" s="3"/>
      <c r="F16" s="3"/>
      <c r="G16" s="3"/>
      <c r="H16" s="4"/>
      <c r="I16" s="67">
        <f>SUM(I5:I15)</f>
        <v>80</v>
      </c>
      <c r="J16" s="67">
        <f>SUM(J5:J15)</f>
        <v>0</v>
      </c>
    </row>
    <row r="17" s="40" customFormat="1" ht="35" customHeight="1" spans="1:10">
      <c r="A17" s="68" t="s">
        <v>94</v>
      </c>
      <c r="B17" s="68" t="s">
        <v>95</v>
      </c>
      <c r="C17" s="68"/>
      <c r="D17" s="68" t="s">
        <v>96</v>
      </c>
      <c r="E17" s="69"/>
      <c r="F17" s="3"/>
      <c r="G17" s="4"/>
      <c r="H17" s="68" t="s">
        <v>97</v>
      </c>
      <c r="I17" s="68"/>
      <c r="J17" s="4"/>
    </row>
    <row r="18" s="40" customFormat="1" ht="35" customHeight="1" spans="1:10">
      <c r="A18" s="68" t="s">
        <v>98</v>
      </c>
      <c r="B18" s="68" t="s">
        <v>95</v>
      </c>
      <c r="C18" s="68"/>
      <c r="D18" s="68" t="s">
        <v>96</v>
      </c>
      <c r="E18" s="9"/>
      <c r="F18" s="3"/>
      <c r="G18" s="4"/>
      <c r="H18" s="68" t="s">
        <v>97</v>
      </c>
      <c r="I18" s="68"/>
      <c r="J18" s="4"/>
    </row>
    <row r="19" s="40" customFormat="1" ht="68" customHeight="1" spans="1:10">
      <c r="A19" s="71" t="s">
        <v>99</v>
      </c>
      <c r="B19" s="3"/>
      <c r="C19" s="3"/>
      <c r="D19" s="3"/>
      <c r="E19" s="3"/>
      <c r="F19" s="3"/>
      <c r="G19" s="3"/>
      <c r="H19" s="3"/>
      <c r="I19" s="3"/>
      <c r="J19" s="4"/>
    </row>
    <row r="20" s="238" customFormat="1" ht="68" customHeight="1"/>
  </sheetData>
  <mergeCells count="18">
    <mergeCell ref="A1:J1"/>
    <mergeCell ref="E2:F2"/>
    <mergeCell ref="A3:J3"/>
    <mergeCell ref="C12:F12"/>
    <mergeCell ref="A13:J13"/>
    <mergeCell ref="F14:H14"/>
    <mergeCell ref="C15:D15"/>
    <mergeCell ref="F15:H15"/>
    <mergeCell ref="A16:H16"/>
    <mergeCell ref="E17:G17"/>
    <mergeCell ref="I17:J17"/>
    <mergeCell ref="E18:G18"/>
    <mergeCell ref="I18:J18"/>
    <mergeCell ref="A19:J19"/>
    <mergeCell ref="A5:A6"/>
    <mergeCell ref="A7:A11"/>
    <mergeCell ref="B9:B10"/>
    <mergeCell ref="F5:F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zoomScale="63" zoomScaleNormal="63" topLeftCell="A6" workbookViewId="0">
      <selection activeCell="K12" sqref="K12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36</v>
      </c>
      <c r="B2" s="5" t="s">
        <v>13</v>
      </c>
      <c r="C2" s="5" t="s">
        <v>100</v>
      </c>
      <c r="D2" s="5" t="s">
        <v>39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ht="30" customHeight="1" spans="1:11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</row>
    <row r="5" ht="72.75" customHeight="1" spans="1:11">
      <c r="A5" s="229"/>
      <c r="B5" s="135" t="s">
        <v>54</v>
      </c>
      <c r="C5" s="78" t="s">
        <v>101</v>
      </c>
      <c r="D5" s="230" t="s">
        <v>102</v>
      </c>
      <c r="E5" s="29" t="s">
        <v>57</v>
      </c>
      <c r="F5" s="231"/>
      <c r="G5" s="16">
        <v>30</v>
      </c>
      <c r="H5" s="28" t="s">
        <v>103</v>
      </c>
      <c r="I5" s="29">
        <v>28</v>
      </c>
      <c r="J5" s="29">
        <v>28</v>
      </c>
      <c r="K5" s="23"/>
    </row>
    <row r="6" ht="117" customHeight="1" spans="1:11">
      <c r="A6" s="37"/>
      <c r="B6" s="232" t="s">
        <v>60</v>
      </c>
      <c r="C6" s="40" t="s">
        <v>104</v>
      </c>
      <c r="D6" s="233" t="s">
        <v>105</v>
      </c>
      <c r="E6" s="43" t="s">
        <v>57</v>
      </c>
      <c r="F6" s="20"/>
      <c r="G6" s="16">
        <v>20</v>
      </c>
      <c r="H6" s="28"/>
      <c r="I6" s="29">
        <v>20</v>
      </c>
      <c r="J6" s="29">
        <v>20</v>
      </c>
      <c r="K6" s="23"/>
    </row>
    <row r="7" ht="117" customHeight="1" spans="1:11">
      <c r="A7" s="9" t="s">
        <v>64</v>
      </c>
      <c r="B7" s="41" t="s">
        <v>65</v>
      </c>
      <c r="C7" s="42" t="s">
        <v>66</v>
      </c>
      <c r="D7" s="234" t="s">
        <v>67</v>
      </c>
      <c r="E7" s="43" t="s">
        <v>57</v>
      </c>
      <c r="F7" s="44" t="s">
        <v>68</v>
      </c>
      <c r="G7" s="16">
        <v>10</v>
      </c>
      <c r="H7" s="28"/>
      <c r="I7" s="29">
        <v>10</v>
      </c>
      <c r="J7" s="18">
        <v>10</v>
      </c>
      <c r="K7" s="23"/>
    </row>
    <row r="8" ht="156.75" customHeight="1" spans="1:11">
      <c r="A8" s="20"/>
      <c r="B8" s="41" t="s">
        <v>69</v>
      </c>
      <c r="C8" s="42" t="s">
        <v>70</v>
      </c>
      <c r="D8" s="234" t="s">
        <v>71</v>
      </c>
      <c r="E8" s="43" t="s">
        <v>57</v>
      </c>
      <c r="F8" s="44" t="s">
        <v>72</v>
      </c>
      <c r="G8" s="16">
        <v>20</v>
      </c>
      <c r="H8" s="72"/>
      <c r="I8" s="18">
        <v>20</v>
      </c>
      <c r="J8" s="18">
        <v>20</v>
      </c>
    </row>
    <row r="9" ht="93" customHeight="1" spans="1:11">
      <c r="A9" s="20"/>
      <c r="B9" s="26" t="s">
        <v>73</v>
      </c>
      <c r="C9" s="46" t="s">
        <v>74</v>
      </c>
      <c r="D9" s="235" t="s">
        <v>75</v>
      </c>
      <c r="E9" s="15" t="s">
        <v>76</v>
      </c>
      <c r="F9" s="48" t="s">
        <v>77</v>
      </c>
      <c r="G9" s="16">
        <v>10</v>
      </c>
      <c r="H9" s="72" t="s">
        <v>106</v>
      </c>
      <c r="I9" s="18">
        <v>10</v>
      </c>
      <c r="J9" s="18">
        <v>10</v>
      </c>
      <c r="K9" t="s">
        <v>107</v>
      </c>
    </row>
    <row r="10" ht="76.5" customHeight="1" spans="1:11">
      <c r="A10" s="20"/>
      <c r="B10" s="21"/>
      <c r="C10" s="49" t="s">
        <v>79</v>
      </c>
      <c r="D10" s="30" t="s">
        <v>80</v>
      </c>
      <c r="E10" s="30" t="s">
        <v>81</v>
      </c>
      <c r="F10" s="51" t="s">
        <v>82</v>
      </c>
      <c r="G10" s="16">
        <v>10</v>
      </c>
      <c r="H10" s="139"/>
      <c r="I10" s="18">
        <v>10</v>
      </c>
      <c r="J10" s="18">
        <v>10</v>
      </c>
      <c r="K10" t="s">
        <v>108</v>
      </c>
    </row>
    <row r="11" ht="76.5" customHeight="1" spans="1:11">
      <c r="A11" s="21"/>
      <c r="B11" s="52" t="s">
        <v>84</v>
      </c>
      <c r="C11" s="53" t="s">
        <v>85</v>
      </c>
      <c r="D11" s="55"/>
      <c r="E11" s="55"/>
      <c r="F11" s="56"/>
      <c r="G11" s="57"/>
      <c r="H11" s="13"/>
      <c r="I11" s="18"/>
      <c r="J11" s="18">
        <v>5</v>
      </c>
      <c r="K11" s="1" t="s">
        <v>109</v>
      </c>
    </row>
    <row r="12" ht="39" customHeight="1" spans="1:11">
      <c r="A12" s="58" t="s">
        <v>87</v>
      </c>
      <c r="B12" s="59" t="s">
        <v>87</v>
      </c>
      <c r="C12" s="59" t="s">
        <v>88</v>
      </c>
      <c r="D12" s="3"/>
      <c r="E12" s="3"/>
      <c r="F12" s="4"/>
      <c r="G12" s="16"/>
      <c r="H12" s="13"/>
      <c r="I12" s="18"/>
      <c r="J12" s="18"/>
    </row>
    <row r="13" ht="28" customHeight="1" spans="1:11">
      <c r="A13" s="5" t="s">
        <v>89</v>
      </c>
      <c r="B13" s="3"/>
      <c r="C13" s="3"/>
      <c r="D13" s="3"/>
      <c r="E13" s="3"/>
      <c r="F13" s="3"/>
      <c r="G13" s="3"/>
      <c r="H13" s="3"/>
      <c r="I13" s="3"/>
      <c r="J13" s="4"/>
    </row>
    <row r="14" ht="36" customHeight="1" spans="1:11">
      <c r="A14" s="7" t="s">
        <v>43</v>
      </c>
      <c r="B14" s="7" t="s">
        <v>44</v>
      </c>
      <c r="C14" s="8" t="s">
        <v>45</v>
      </c>
      <c r="D14" s="8" t="s">
        <v>46</v>
      </c>
      <c r="E14" s="8" t="s">
        <v>47</v>
      </c>
      <c r="F14" s="9" t="s">
        <v>50</v>
      </c>
      <c r="G14" s="3"/>
      <c r="H14" s="4"/>
      <c r="I14" s="9" t="s">
        <v>51</v>
      </c>
      <c r="J14" s="9" t="s">
        <v>52</v>
      </c>
    </row>
    <row r="15" ht="18" customHeight="1" spans="1:11">
      <c r="A15" s="61" t="s">
        <v>90</v>
      </c>
      <c r="B15" s="62" t="s">
        <v>91</v>
      </c>
      <c r="C15" s="63" t="s">
        <v>92</v>
      </c>
      <c r="D15" s="4"/>
      <c r="E15" s="64" t="s">
        <v>93</v>
      </c>
      <c r="F15" s="8"/>
      <c r="G15" s="3"/>
      <c r="H15" s="4"/>
      <c r="I15" s="65"/>
      <c r="J15" s="65"/>
    </row>
    <row r="16" ht="29.25" customHeight="1" spans="1:11">
      <c r="A16" s="66"/>
      <c r="B16" s="3"/>
      <c r="C16" s="3"/>
      <c r="D16" s="3"/>
      <c r="E16" s="3"/>
      <c r="F16" s="3"/>
      <c r="G16" s="3"/>
      <c r="H16" s="4"/>
      <c r="I16" s="67">
        <f>SUM(I1:I10)+I15</f>
        <v>98</v>
      </c>
      <c r="J16" s="67">
        <f>SUM(J5:J12)+J15</f>
        <v>103</v>
      </c>
    </row>
    <row r="17" ht="35" customHeight="1" spans="1:10">
      <c r="A17" s="68" t="s">
        <v>94</v>
      </c>
      <c r="B17" s="68" t="s">
        <v>95</v>
      </c>
      <c r="C17" s="68"/>
      <c r="D17" s="68" t="s">
        <v>96</v>
      </c>
      <c r="E17" s="69"/>
      <c r="F17" s="3"/>
      <c r="G17" s="4"/>
      <c r="H17" s="68" t="s">
        <v>97</v>
      </c>
      <c r="I17" s="68"/>
      <c r="J17" s="4"/>
    </row>
    <row r="18" ht="35" customHeight="1" spans="1:10">
      <c r="A18" s="68" t="s">
        <v>98</v>
      </c>
      <c r="B18" s="68" t="s">
        <v>95</v>
      </c>
      <c r="C18" s="68"/>
      <c r="D18" s="68" t="s">
        <v>96</v>
      </c>
      <c r="E18" s="9"/>
      <c r="F18" s="3"/>
      <c r="G18" s="4"/>
      <c r="H18" s="68" t="s">
        <v>97</v>
      </c>
      <c r="I18" s="68"/>
      <c r="J18" s="4"/>
    </row>
    <row r="19" ht="68" customHeight="1" spans="1:10">
      <c r="A19" s="71" t="s">
        <v>99</v>
      </c>
      <c r="B19" s="3"/>
      <c r="C19" s="3"/>
      <c r="D19" s="3"/>
      <c r="E19" s="3"/>
      <c r="F19" s="3"/>
      <c r="G19" s="3"/>
      <c r="H19" s="3"/>
      <c r="I19" s="3"/>
      <c r="J19" s="4"/>
    </row>
    <row r="20" ht="68" customHeight="1" spans="1:10">
      <c r="D20" s="80"/>
      <c r="H20" s="80"/>
    </row>
  </sheetData>
  <mergeCells count="17">
    <mergeCell ref="A1:J1"/>
    <mergeCell ref="E2:F2"/>
    <mergeCell ref="A3:J3"/>
    <mergeCell ref="C12:F12"/>
    <mergeCell ref="A13:J13"/>
    <mergeCell ref="F14:H14"/>
    <mergeCell ref="C15:D15"/>
    <mergeCell ref="F15:H15"/>
    <mergeCell ref="A16:H16"/>
    <mergeCell ref="E17:G17"/>
    <mergeCell ref="I17:J17"/>
    <mergeCell ref="E18:G18"/>
    <mergeCell ref="I18:J18"/>
    <mergeCell ref="A19:J19"/>
    <mergeCell ref="A7:A11"/>
    <mergeCell ref="B9:B10"/>
    <mergeCell ref="F5:F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0"/>
  <sheetViews>
    <sheetView zoomScale="72" zoomScaleNormal="72" topLeftCell="A9" workbookViewId="0">
      <selection activeCell="I17" sqref="I17"/>
    </sheetView>
  </sheetViews>
  <sheetFormatPr defaultColWidth="9" defaultRowHeight="16.8"/>
  <cols>
    <col min="1" max="1" width="8.76785714285714" style="1" customWidth="1"/>
    <col min="2" max="2" width="20.6428571428571" style="1" customWidth="1"/>
    <col min="3" max="3" width="16.3303571428571" style="1" customWidth="1"/>
    <col min="4" max="4" width="31.4285714285714" style="1" customWidth="1"/>
    <col min="5" max="5" width="43.3214285714286" style="1" customWidth="1"/>
    <col min="6" max="6" width="37.0982142857143" style="1" customWidth="1"/>
    <col min="7" max="7" width="53.7142857142857" style="1" customWidth="1"/>
    <col min="8" max="8" width="10.7142857142857" style="1" customWidth="1"/>
    <col min="9" max="9" width="34.7142857142857" style="1" customWidth="1"/>
    <col min="10" max="10" width="22.4910714285714" style="1" customWidth="1"/>
    <col min="11" max="11" width="29.7142857142857" style="1" customWidth="1"/>
    <col min="12" max="12" width="37.7142857142857" style="1" customWidth="1"/>
    <col min="13" max="13" width="13.7142857142857" style="1" customWidth="1"/>
  </cols>
  <sheetData>
    <row r="1" ht="25.5" customHeight="1" spans="1:26">
      <c r="A1" s="143"/>
      <c r="B1" s="184" t="s">
        <v>110</v>
      </c>
      <c r="C1" s="141"/>
      <c r="D1" s="141"/>
      <c r="E1" s="141"/>
      <c r="F1" s="141"/>
      <c r="G1" s="141"/>
      <c r="H1" s="141"/>
      <c r="I1" s="141"/>
      <c r="J1" s="141"/>
      <c r="K1" s="142"/>
      <c r="L1" s="143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23.25" customHeight="1" spans="1:26">
      <c r="A2" s="143"/>
      <c r="B2" s="186" t="s">
        <v>36</v>
      </c>
      <c r="C2" s="186" t="s">
        <v>14</v>
      </c>
      <c r="D2" s="186" t="s">
        <v>100</v>
      </c>
      <c r="E2" s="187" t="s">
        <v>111</v>
      </c>
      <c r="F2" s="141"/>
      <c r="G2" s="142"/>
      <c r="H2" s="186" t="s">
        <v>38</v>
      </c>
      <c r="I2" s="188" t="s">
        <v>12</v>
      </c>
      <c r="J2" s="186" t="s">
        <v>40</v>
      </c>
      <c r="K2" s="189" t="s">
        <v>41</v>
      </c>
      <c r="L2" s="143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25.5" customHeight="1" spans="1:26">
      <c r="A3" s="143"/>
      <c r="B3" s="186" t="s">
        <v>42</v>
      </c>
      <c r="C3" s="141"/>
      <c r="D3" s="141"/>
      <c r="E3" s="141"/>
      <c r="F3" s="141"/>
      <c r="G3" s="141"/>
      <c r="H3" s="141"/>
      <c r="I3" s="141"/>
      <c r="J3" s="141"/>
      <c r="K3" s="142"/>
      <c r="L3" s="143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ht="53" customHeight="1" spans="1:26">
      <c r="A4" s="143"/>
      <c r="B4" s="186" t="s">
        <v>43</v>
      </c>
      <c r="C4" s="186" t="s">
        <v>44</v>
      </c>
      <c r="D4" s="188" t="s">
        <v>45</v>
      </c>
      <c r="E4" s="188" t="s">
        <v>46</v>
      </c>
      <c r="F4" s="188" t="s">
        <v>47</v>
      </c>
      <c r="G4" s="188" t="s">
        <v>48</v>
      </c>
      <c r="H4" s="186" t="s">
        <v>49</v>
      </c>
      <c r="I4" s="188" t="s">
        <v>50</v>
      </c>
      <c r="J4" s="188" t="s">
        <v>51</v>
      </c>
      <c r="K4" s="188" t="s">
        <v>52</v>
      </c>
      <c r="L4" s="143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</row>
    <row r="5" ht="17.6" customHeight="1" spans="1:26">
      <c r="A5" s="185"/>
      <c r="B5" s="188" t="s">
        <v>112</v>
      </c>
      <c r="C5" s="190" t="s">
        <v>113</v>
      </c>
      <c r="D5" s="191" t="s">
        <v>114</v>
      </c>
      <c r="E5" s="192" t="s">
        <v>115</v>
      </c>
      <c r="F5" s="193" t="s">
        <v>116</v>
      </c>
      <c r="G5" s="194" t="s">
        <v>58</v>
      </c>
      <c r="H5" s="195">
        <v>8</v>
      </c>
      <c r="I5" s="196" t="s">
        <v>117</v>
      </c>
      <c r="J5" s="195">
        <v>8</v>
      </c>
      <c r="K5" s="195">
        <v>8</v>
      </c>
      <c r="L5" s="15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ht="48.75" customHeight="1" spans="1:26">
      <c r="A6" s="185"/>
      <c r="B6" s="156"/>
      <c r="C6" s="156"/>
      <c r="D6" s="156"/>
      <c r="E6" s="192" t="s">
        <v>118</v>
      </c>
      <c r="F6" s="156"/>
      <c r="G6" s="156"/>
      <c r="H6" s="195">
        <v>8</v>
      </c>
      <c r="I6" s="196" t="s">
        <v>117</v>
      </c>
      <c r="J6" s="195">
        <v>8</v>
      </c>
      <c r="K6" s="195">
        <v>8</v>
      </c>
      <c r="L6" s="15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47.25" customHeight="1" spans="1:26">
      <c r="A7" s="185"/>
      <c r="B7" s="156"/>
      <c r="C7" s="156"/>
      <c r="D7" s="156"/>
      <c r="E7" s="192" t="s">
        <v>119</v>
      </c>
      <c r="F7" s="156"/>
      <c r="G7" s="156"/>
      <c r="H7" s="195">
        <v>8</v>
      </c>
      <c r="I7" s="196" t="s">
        <v>117</v>
      </c>
      <c r="J7" s="195">
        <v>8</v>
      </c>
      <c r="K7" s="195">
        <v>8</v>
      </c>
      <c r="L7" s="15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ht="76.5" customHeight="1" spans="1:26">
      <c r="A8" s="185"/>
      <c r="B8" s="156"/>
      <c r="C8" s="156"/>
      <c r="D8" s="156"/>
      <c r="E8" s="192" t="s">
        <v>120</v>
      </c>
      <c r="F8" s="156"/>
      <c r="G8" s="156"/>
      <c r="H8" s="195">
        <v>8</v>
      </c>
      <c r="I8" s="196" t="s">
        <v>117</v>
      </c>
      <c r="J8" s="195">
        <v>8</v>
      </c>
      <c r="K8" s="195">
        <v>8</v>
      </c>
      <c r="L8" s="15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ht="76.5" customHeight="1" spans="1:26">
      <c r="A9" s="185"/>
      <c r="B9" s="156"/>
      <c r="C9" s="156"/>
      <c r="D9" s="156"/>
      <c r="E9" s="192" t="s">
        <v>121</v>
      </c>
      <c r="F9" s="156"/>
      <c r="G9" s="156"/>
      <c r="H9" s="195">
        <v>8</v>
      </c>
      <c r="I9" s="196" t="s">
        <v>117</v>
      </c>
      <c r="J9" s="195">
        <v>8</v>
      </c>
      <c r="K9" s="195">
        <v>8</v>
      </c>
      <c r="L9" s="15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ht="46.5" customHeight="1" spans="1:26">
      <c r="A10" s="185"/>
      <c r="B10" s="167"/>
      <c r="C10" s="167"/>
      <c r="D10" s="197" t="s">
        <v>122</v>
      </c>
      <c r="E10" s="192" t="s">
        <v>123</v>
      </c>
      <c r="F10" s="156"/>
      <c r="G10" s="156"/>
      <c r="H10" s="195">
        <v>5</v>
      </c>
      <c r="I10" s="196" t="s">
        <v>117</v>
      </c>
      <c r="J10" s="195">
        <v>5</v>
      </c>
      <c r="K10" s="195">
        <v>5</v>
      </c>
      <c r="L10" s="15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ht="52.5" customHeight="1" spans="1:26">
      <c r="A11" s="185"/>
      <c r="B11" s="198"/>
      <c r="C11" s="198"/>
      <c r="D11" s="156"/>
      <c r="E11" s="192" t="s">
        <v>124</v>
      </c>
      <c r="F11" s="167"/>
      <c r="G11" s="167"/>
      <c r="H11" s="195">
        <v>5</v>
      </c>
      <c r="I11" s="196" t="s">
        <v>117</v>
      </c>
      <c r="J11" s="195">
        <v>5</v>
      </c>
      <c r="K11" s="195">
        <v>5</v>
      </c>
      <c r="L11" s="15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ht="152" customHeight="1" spans="1:26">
      <c r="A12" s="185"/>
      <c r="B12" s="199" t="s">
        <v>125</v>
      </c>
      <c r="C12" s="200" t="s">
        <v>126</v>
      </c>
      <c r="D12" s="201" t="s">
        <v>65</v>
      </c>
      <c r="E12" s="194" t="s">
        <v>127</v>
      </c>
      <c r="F12" s="201" t="s">
        <v>128</v>
      </c>
      <c r="G12" s="194" t="s">
        <v>68</v>
      </c>
      <c r="H12" s="195">
        <v>10</v>
      </c>
      <c r="I12" s="202"/>
      <c r="J12" s="195">
        <v>10</v>
      </c>
      <c r="K12" s="195">
        <v>10</v>
      </c>
      <c r="L12" s="15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</row>
    <row r="13" ht="93" customHeight="1" spans="1:26">
      <c r="A13" s="185"/>
      <c r="B13" s="156"/>
      <c r="C13" s="156"/>
      <c r="D13" s="191" t="s">
        <v>69</v>
      </c>
      <c r="E13" s="203" t="s">
        <v>71</v>
      </c>
      <c r="F13" s="191" t="s">
        <v>128</v>
      </c>
      <c r="G13" s="203" t="s">
        <v>72</v>
      </c>
      <c r="H13" s="197">
        <v>5</v>
      </c>
      <c r="I13" s="204"/>
      <c r="J13" s="197">
        <v>5</v>
      </c>
      <c r="K13" s="197">
        <v>5</v>
      </c>
      <c r="L13" s="15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 ht="76.5" customHeight="1" spans="1:26">
      <c r="A14" s="185"/>
      <c r="B14" s="156"/>
      <c r="C14" s="190" t="s">
        <v>129</v>
      </c>
      <c r="D14" s="201" t="s">
        <v>74</v>
      </c>
      <c r="E14" s="194" t="s">
        <v>75</v>
      </c>
      <c r="F14" s="201" t="s">
        <v>128</v>
      </c>
      <c r="G14" s="205" t="s">
        <v>130</v>
      </c>
      <c r="H14" s="195">
        <v>20</v>
      </c>
      <c r="I14" s="206"/>
      <c r="J14" s="195">
        <v>20</v>
      </c>
      <c r="K14" s="195">
        <v>20</v>
      </c>
      <c r="L14" s="143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 ht="58" customHeight="1" spans="1:26">
      <c r="A15" s="185"/>
      <c r="B15" s="156"/>
      <c r="C15" s="167"/>
      <c r="D15" s="201" t="s">
        <v>131</v>
      </c>
      <c r="E15" s="194" t="s">
        <v>80</v>
      </c>
      <c r="F15" s="201" t="s">
        <v>128</v>
      </c>
      <c r="G15" s="205" t="s">
        <v>82</v>
      </c>
      <c r="H15" s="195">
        <v>10</v>
      </c>
      <c r="I15" s="206"/>
      <c r="J15" s="195">
        <v>10</v>
      </c>
      <c r="K15" s="195">
        <v>10</v>
      </c>
      <c r="L15" s="143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</row>
    <row r="16" ht="53" customHeight="1" spans="1:26">
      <c r="A16" s="207"/>
      <c r="B16" s="156"/>
      <c r="C16" s="188" t="s">
        <v>132</v>
      </c>
      <c r="D16" s="208" t="s">
        <v>133</v>
      </c>
      <c r="E16" s="209" t="s">
        <v>134</v>
      </c>
      <c r="F16" s="201" t="s">
        <v>128</v>
      </c>
      <c r="G16" s="205" t="s">
        <v>135</v>
      </c>
      <c r="H16" s="195">
        <v>5</v>
      </c>
      <c r="I16" s="208"/>
      <c r="J16" s="195">
        <v>5</v>
      </c>
      <c r="K16" s="195">
        <v>5</v>
      </c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34" customHeight="1" spans="1:26">
      <c r="A17" s="143"/>
      <c r="B17" s="210" t="s">
        <v>87</v>
      </c>
      <c r="C17" s="171" t="s">
        <v>87</v>
      </c>
      <c r="D17" s="211" t="s">
        <v>88</v>
      </c>
      <c r="E17" s="212"/>
      <c r="F17" s="213" t="s">
        <v>128</v>
      </c>
      <c r="G17" s="205" t="s">
        <v>136</v>
      </c>
      <c r="H17" s="195">
        <v>10</v>
      </c>
      <c r="I17" s="214"/>
      <c r="J17" s="195">
        <v>10</v>
      </c>
      <c r="K17" s="195">
        <v>10</v>
      </c>
      <c r="L17" s="143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</row>
    <row r="18" ht="28.5" customHeight="1" spans="1:26">
      <c r="A18" s="143"/>
      <c r="B18" s="215" t="s">
        <v>137</v>
      </c>
      <c r="C18" s="141"/>
      <c r="D18" s="141"/>
      <c r="E18" s="141"/>
      <c r="F18" s="141"/>
      <c r="G18" s="142"/>
      <c r="H18" s="216"/>
      <c r="I18" s="216"/>
      <c r="J18" s="217"/>
      <c r="K18" s="217"/>
      <c r="L18" s="143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</row>
    <row r="19" ht="64.5" customHeight="1" spans="1:26">
      <c r="A19" s="143"/>
      <c r="B19" s="186" t="s">
        <v>89</v>
      </c>
      <c r="C19" s="141"/>
      <c r="D19" s="141"/>
      <c r="E19" s="141"/>
      <c r="F19" s="141"/>
      <c r="G19" s="141"/>
      <c r="H19" s="141"/>
      <c r="I19" s="141"/>
      <c r="J19" s="141"/>
      <c r="K19" s="142"/>
      <c r="L19" s="143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</row>
    <row r="20" ht="67.5" customHeight="1" spans="1:26">
      <c r="A20" s="143"/>
      <c r="B20" s="186" t="s">
        <v>43</v>
      </c>
      <c r="C20" s="186" t="s">
        <v>44</v>
      </c>
      <c r="D20" s="188" t="s">
        <v>45</v>
      </c>
      <c r="E20" s="188" t="s">
        <v>46</v>
      </c>
      <c r="F20" s="188" t="s">
        <v>47</v>
      </c>
      <c r="G20" s="188" t="s">
        <v>50</v>
      </c>
      <c r="H20" s="141"/>
      <c r="I20" s="142"/>
      <c r="J20" s="188" t="s">
        <v>51</v>
      </c>
      <c r="K20" s="188" t="s">
        <v>52</v>
      </c>
      <c r="L20" s="143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</row>
    <row r="21" ht="118" customHeight="1" spans="1:26">
      <c r="A21" s="143"/>
      <c r="B21" s="188" t="s">
        <v>90</v>
      </c>
      <c r="C21" s="218" t="s">
        <v>91</v>
      </c>
      <c r="D21" s="219" t="s">
        <v>92</v>
      </c>
      <c r="E21" s="142"/>
      <c r="F21" s="220" t="s">
        <v>93</v>
      </c>
      <c r="G21" s="201"/>
      <c r="H21" s="141"/>
      <c r="I21" s="142"/>
      <c r="J21" s="221">
        <f>SUM(J5:J20)</f>
        <v>110</v>
      </c>
      <c r="K21" s="221">
        <f>SUM(K5:K20)</f>
        <v>110</v>
      </c>
      <c r="L21" s="143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</row>
    <row r="22" ht="28.5" customHeight="1" spans="1:26">
      <c r="A22" s="143"/>
      <c r="B22" s="222"/>
      <c r="C22" s="141"/>
      <c r="D22" s="141"/>
      <c r="E22" s="141"/>
      <c r="F22" s="141"/>
      <c r="G22" s="141"/>
      <c r="H22" s="141"/>
      <c r="I22" s="142"/>
      <c r="J22" s="223"/>
      <c r="K22" s="223"/>
      <c r="L22" s="143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</row>
    <row r="23" ht="64.5" customHeight="1" spans="1:26">
      <c r="A23" s="143"/>
      <c r="B23" s="223" t="s">
        <v>94</v>
      </c>
      <c r="C23" s="223" t="s">
        <v>95</v>
      </c>
      <c r="D23" s="223"/>
      <c r="E23" s="223" t="s">
        <v>96</v>
      </c>
      <c r="F23" s="224"/>
      <c r="G23" s="141"/>
      <c r="H23" s="142"/>
      <c r="I23" s="223" t="s">
        <v>97</v>
      </c>
      <c r="J23" s="225" t="s">
        <v>97</v>
      </c>
      <c r="K23" s="142"/>
      <c r="L23" s="143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</row>
    <row r="24" ht="17.6" customHeight="1" spans="1:26">
      <c r="A24" s="143"/>
      <c r="B24" s="223" t="s">
        <v>98</v>
      </c>
      <c r="C24" s="223" t="s">
        <v>95</v>
      </c>
      <c r="D24" s="223"/>
      <c r="E24" s="223" t="s">
        <v>96</v>
      </c>
      <c r="F24" s="226"/>
      <c r="G24" s="141"/>
      <c r="H24" s="142"/>
      <c r="I24" s="223" t="s">
        <v>97</v>
      </c>
      <c r="J24" s="223" t="s">
        <v>97</v>
      </c>
      <c r="K24" s="142"/>
      <c r="L24" s="143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</row>
    <row r="25" ht="17.6" customHeight="1" spans="1:26">
      <c r="A25" s="143"/>
      <c r="B25" s="227" t="s">
        <v>99</v>
      </c>
      <c r="C25" s="141"/>
      <c r="D25" s="141"/>
      <c r="E25" s="141"/>
      <c r="F25" s="141"/>
      <c r="G25" s="141"/>
      <c r="H25" s="141"/>
      <c r="I25" s="141"/>
      <c r="J25" s="141"/>
      <c r="K25" s="142"/>
      <c r="L25" s="143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</row>
    <row r="26" ht="17.6" customHeight="1" spans="1:26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7.6" customHeight="1" spans="1:26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7.6" customHeight="1" spans="1:26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7.6" customHeight="1" spans="1:26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7.6" customHeight="1" spans="1:26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7.6" customHeight="1" spans="1:26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7.6" customHeight="1" spans="1:26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7.6" customHeight="1" spans="1:26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7.6" customHeight="1" spans="1:26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7.6" customHeight="1" spans="1:26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7.6" customHeight="1" spans="1:26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7.6" customHeight="1" spans="1:26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7.6" customHeight="1" spans="1:26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7.6" customHeight="1" spans="1:26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7.6" customHeight="1" spans="1:26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7.6" customHeight="1" spans="1:26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</row>
    <row r="42" ht="17.6" customHeight="1" spans="1:26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</row>
    <row r="43" ht="17.6" customHeight="1" spans="1:26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 ht="17.6" customHeight="1" spans="1:26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 ht="17.6" customHeight="1" spans="1:26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 ht="17.6" customHeight="1" spans="1:26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 ht="17.6" customHeight="1" spans="1:26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 ht="17.6" customHeight="1" spans="1:26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49" ht="17.6" customHeight="1" spans="1:26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</row>
    <row r="50" ht="17.6" customHeight="1" spans="1:26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</row>
    <row r="51" ht="17.6" customHeight="1" spans="1:26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 ht="17.6" customHeight="1" spans="1:26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 ht="17.6" customHeight="1" spans="1:26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 ht="17.6" customHeight="1" spans="1:26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</row>
    <row r="55" ht="17.6" customHeight="1" spans="1:26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</row>
    <row r="56" ht="17.6" customHeight="1" spans="1:26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</row>
    <row r="57" ht="17.6" customHeight="1" spans="1:26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</row>
    <row r="58" ht="17.6" customHeight="1" spans="1:26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</row>
    <row r="59" ht="17.6" customHeight="1" spans="1:26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</row>
    <row r="60" ht="17.6" customHeight="1" spans="1:26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</row>
    <row r="61" ht="17.6" customHeight="1" spans="1:26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</row>
    <row r="62" ht="17.6" customHeight="1" spans="1:26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 ht="17.6" customHeight="1" spans="1:26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</row>
    <row r="64" ht="17.6" customHeight="1" spans="1:26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</row>
    <row r="65" ht="17.6" customHeight="1" spans="1:26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</row>
    <row r="66" ht="17.6" customHeight="1" spans="1:26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ht="17.6" customHeight="1" spans="1:26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ht="17.6" customHeight="1" spans="1:26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 ht="17.6" customHeight="1" spans="1:26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ht="17.6" customHeight="1" spans="1:26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 ht="17.6" customHeight="1" spans="1:26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 ht="17.6" customHeight="1" spans="1:26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 ht="17.6" customHeight="1" spans="1:26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 ht="17.6" customHeight="1" spans="1:26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 ht="17.6" customHeight="1" spans="1:26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 ht="17.6" customHeight="1" spans="1:26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 ht="17.6" customHeight="1" spans="1:26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 ht="17.6" customHeight="1" spans="1:26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 ht="17.6" customHeight="1" spans="1:26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</row>
    <row r="80" ht="17.6" customHeight="1" spans="1:26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</row>
    <row r="81" ht="17.6" customHeight="1" spans="1:26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</row>
    <row r="82" ht="17.6" customHeight="1" spans="1:26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</row>
    <row r="83" ht="17.6" customHeight="1" spans="1:26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</row>
    <row r="84" ht="17.6" customHeight="1" spans="1:26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</row>
    <row r="85" ht="17.6" customHeight="1" spans="1:26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</row>
    <row r="86" ht="17.6" customHeight="1" spans="1:26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</row>
    <row r="87" ht="17.6" customHeight="1" spans="1:26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</row>
    <row r="88" ht="17.6" customHeight="1" spans="1:26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 ht="17.6" customHeight="1" spans="1:26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 ht="17.6" customHeight="1" spans="1:26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 ht="17.6" customHeight="1" spans="1:26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 ht="17.6" customHeight="1" spans="1:26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 ht="17.6" customHeight="1" spans="1:26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 ht="17.6" customHeight="1" spans="1:26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 ht="17.6" customHeight="1" spans="1:26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 ht="17.6" customHeight="1" spans="1:26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 ht="17.6" customHeight="1" spans="1:26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98" ht="17.6" customHeight="1" spans="1:26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</row>
    <row r="99" ht="17.6" customHeight="1" spans="1:26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</row>
    <row r="100" ht="17.6" customHeight="1" spans="1:26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</row>
    <row r="101" ht="17.6" customHeight="1" spans="1:26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</row>
    <row r="102" ht="17.6" customHeight="1" spans="1:26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</row>
    <row r="103" ht="17.6" customHeight="1" spans="1:26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</row>
    <row r="104" ht="17.6" customHeight="1" spans="1:26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</row>
    <row r="105" ht="17.6" customHeight="1" spans="1:26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</row>
    <row r="106" ht="17.6" customHeight="1" spans="1:26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</row>
    <row r="107" ht="17.6" customHeight="1" spans="1:26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</row>
    <row r="108" ht="17.6" customHeight="1" spans="1:26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</row>
    <row r="109" ht="17.6" customHeight="1" spans="1:26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</row>
    <row r="110" ht="17.6" customHeight="1" spans="1:26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</row>
    <row r="111" ht="17.6" customHeight="1" spans="1:26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</row>
    <row r="112" ht="17.6" customHeight="1" spans="1:26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</row>
    <row r="113" ht="17.6" customHeight="1" spans="1:26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</row>
    <row r="114" ht="17.6" customHeight="1" spans="1:26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</row>
    <row r="115" ht="17.6" customHeight="1" spans="1:26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</row>
    <row r="116" ht="17.6" customHeight="1" spans="1:26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</row>
    <row r="117" ht="17.6" customHeight="1" spans="1:26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</row>
    <row r="118" ht="17.6" customHeight="1" spans="1:26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</row>
    <row r="119" ht="17.6" customHeight="1" spans="1:26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</row>
    <row r="120" ht="17.6" customHeight="1" spans="1:26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</row>
    <row r="121" ht="17.6" customHeight="1" spans="1:26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</row>
    <row r="122" ht="17.6" customHeight="1" spans="1:26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</row>
    <row r="123" ht="17.6" customHeight="1" spans="1:26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</row>
    <row r="124" ht="17.6" customHeight="1" spans="1:26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</row>
    <row r="125" ht="17.6" customHeight="1" spans="1:26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</row>
    <row r="126" ht="17.6" customHeight="1" spans="1:26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</row>
    <row r="127" ht="17.6" customHeight="1" spans="1:26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</row>
    <row r="128" ht="17.6" customHeight="1" spans="1:26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</row>
    <row r="129" ht="17.6" customHeight="1" spans="1:26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</row>
    <row r="130" ht="17.6" customHeight="1" spans="1:26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</row>
    <row r="131" ht="17.6" customHeight="1" spans="1:26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</row>
    <row r="132" ht="17.6" customHeight="1" spans="1:26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</row>
    <row r="133" ht="17.6" customHeight="1" spans="1:26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</row>
    <row r="134" ht="17.6" customHeight="1" spans="1:26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</row>
    <row r="135" ht="17.6" customHeight="1" spans="1:26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</row>
    <row r="136" ht="17.6" customHeight="1" spans="1:26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</row>
    <row r="137" ht="17.6" customHeight="1" spans="1:26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</row>
    <row r="138" ht="17.6" customHeight="1" spans="1:26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</row>
    <row r="139" ht="17.6" customHeight="1" spans="1:26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</row>
    <row r="140" ht="17.6" customHeight="1" spans="1:26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</row>
    <row r="141" ht="17.6" customHeight="1" spans="1:26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</row>
    <row r="142" ht="17.6" customHeight="1" spans="1:26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</row>
    <row r="143" ht="17.6" customHeight="1" spans="1:26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</row>
    <row r="144" ht="17.6" customHeight="1" spans="1:26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</row>
    <row r="145" ht="17.6" customHeight="1" spans="1:26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</row>
    <row r="146" ht="17.6" customHeight="1" spans="1:26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</row>
    <row r="147" ht="17.6" customHeight="1" spans="1:26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</row>
    <row r="148" ht="17.6" customHeight="1" spans="1:26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</row>
    <row r="149" ht="17.6" customHeight="1" spans="1:26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</row>
    <row r="150" ht="17.6" customHeight="1" spans="1:26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</row>
    <row r="151" ht="17.6" customHeight="1" spans="1:26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</row>
    <row r="152" ht="17.6" customHeight="1" spans="1:26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</row>
    <row r="153" ht="17.6" customHeight="1" spans="1:26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</row>
    <row r="154" ht="17.6" customHeight="1" spans="1:26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</row>
    <row r="155" ht="17.6" customHeight="1" spans="1:26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</row>
    <row r="156" ht="17.6" customHeight="1" spans="1:26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</row>
    <row r="157" ht="17.6" customHeight="1" spans="1:26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</row>
    <row r="158" ht="17.6" customHeight="1" spans="1:26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</row>
    <row r="159" ht="17.6" customHeight="1" spans="1:26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</row>
    <row r="160" ht="17.6" customHeight="1" spans="1:26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</row>
    <row r="161" ht="17.6" customHeight="1" spans="1:26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</row>
    <row r="162" ht="17.6" customHeight="1" spans="1:26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</row>
    <row r="163" ht="17.6" customHeight="1" spans="1:26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</row>
    <row r="164" ht="17.6" customHeight="1" spans="1:26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</row>
    <row r="165" ht="17.6" customHeight="1" spans="1:26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</row>
    <row r="166" ht="17.6" customHeight="1" spans="1:26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</row>
    <row r="167" ht="17.6" customHeight="1" spans="1:26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</row>
    <row r="168" ht="17.6" customHeight="1" spans="1:26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</row>
    <row r="169" ht="17.6" customHeight="1" spans="1:26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</row>
    <row r="170" ht="17.6" customHeight="1" spans="1:26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</row>
    <row r="171" ht="17.6" customHeight="1" spans="1:26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</row>
    <row r="172" ht="17.6" customHeight="1" spans="1:26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</row>
    <row r="173" ht="17.6" customHeight="1" spans="1:26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</row>
    <row r="174" ht="17.6" customHeight="1" spans="1:26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</row>
    <row r="175" ht="17.6" customHeight="1" spans="1:26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</row>
    <row r="176" ht="17.6" customHeight="1" spans="1:26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</row>
    <row r="177" ht="17.6" customHeight="1" spans="1:26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</row>
    <row r="178" ht="17.6" customHeight="1" spans="1:26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</row>
    <row r="179" ht="17.6" customHeight="1" spans="1:26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</row>
    <row r="180" ht="17.6" customHeight="1" spans="1:26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</row>
    <row r="181" ht="17.6" customHeight="1" spans="1:26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</row>
    <row r="182" ht="17.6" customHeight="1" spans="1:26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</row>
    <row r="183" ht="17.6" customHeight="1" spans="1:26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</row>
    <row r="184" ht="17.6" customHeight="1" spans="1:26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</row>
    <row r="185" ht="17.6" customHeight="1" spans="1:26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</row>
    <row r="186" ht="17.6" customHeight="1" spans="1:26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</row>
    <row r="187" ht="17.6" customHeight="1" spans="1:26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</row>
    <row r="188" ht="17.6" customHeight="1" spans="1:26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</row>
    <row r="189" ht="17.6" customHeight="1" spans="1:26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</row>
    <row r="190" ht="17.6" customHeight="1" spans="1:26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</row>
    <row r="191" ht="17.6" customHeight="1" spans="1:26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</row>
    <row r="192" ht="17.6" customHeight="1" spans="1:26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</row>
    <row r="193" ht="17.6" customHeight="1" spans="1:26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</row>
    <row r="194" ht="17.6" customHeight="1" spans="1:26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</row>
    <row r="195" ht="17.6" customHeight="1" spans="1:26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</row>
    <row r="196" ht="17.6" customHeight="1" spans="1:26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</row>
    <row r="197" ht="17.6" customHeight="1" spans="1:26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</row>
    <row r="198" ht="17.6" customHeight="1" spans="1:26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</row>
    <row r="199" ht="17.6" customHeight="1" spans="1:26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</row>
    <row r="200" ht="17.6" customHeight="1" spans="1:26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</row>
    <row r="201" ht="17.6" customHeight="1" spans="1:26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</row>
    <row r="202" ht="17.6" customHeight="1" spans="1:26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</row>
    <row r="203" ht="17.6" customHeight="1" spans="1:26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</row>
    <row r="204" ht="17.6" customHeight="1" spans="1:26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</row>
    <row r="205" ht="17.6" customHeight="1" spans="1:26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</row>
    <row r="206" ht="17.6" customHeight="1" spans="1:26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</row>
    <row r="207" ht="17.6" customHeight="1" spans="1:26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</row>
    <row r="208" ht="17.6" customHeight="1" spans="1:26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</row>
    <row r="209" ht="17.6" customHeight="1" spans="1:26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</row>
    <row r="210" ht="17.6" customHeight="1" spans="1:26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</row>
  </sheetData>
  <mergeCells count="24">
    <mergeCell ref="B1:K1"/>
    <mergeCell ref="E2:G2"/>
    <mergeCell ref="B3:K3"/>
    <mergeCell ref="D17:E17"/>
    <mergeCell ref="B18:G18"/>
    <mergeCell ref="B19:K19"/>
    <mergeCell ref="G20:I20"/>
    <mergeCell ref="D21:E21"/>
    <mergeCell ref="G21:I21"/>
    <mergeCell ref="B22:I22"/>
    <mergeCell ref="F23:H23"/>
    <mergeCell ref="J23:K23"/>
    <mergeCell ref="F24:H24"/>
    <mergeCell ref="J24:K24"/>
    <mergeCell ref="B25:K25"/>
    <mergeCell ref="B5:B10"/>
    <mergeCell ref="B12:B16"/>
    <mergeCell ref="C5:C10"/>
    <mergeCell ref="C12:C13"/>
    <mergeCell ref="C14:C15"/>
    <mergeCell ref="D5:D9"/>
    <mergeCell ref="D10:D11"/>
    <mergeCell ref="F5:F11"/>
    <mergeCell ref="G5:G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zoomScale="71" zoomScaleNormal="71" topLeftCell="A13" workbookViewId="0">
      <selection activeCell="J16" sqref="J16"/>
    </sheetView>
  </sheetViews>
  <sheetFormatPr defaultColWidth="9" defaultRowHeight="16.8"/>
  <cols>
    <col min="1" max="1" width="20.7321428571429" style="1" customWidth="1"/>
    <col min="2" max="2" width="21.1785714285714" style="1" customWidth="1"/>
    <col min="3" max="3" width="49.2678571428571" style="1" customWidth="1"/>
    <col min="4" max="4" width="52.7321428571429" style="1" customWidth="1"/>
    <col min="6" max="6" width="37.0892857142857" style="1" customWidth="1"/>
    <col min="10" max="10" width="21.7321428571429" style="1" customWidth="1"/>
  </cols>
  <sheetData>
    <row r="1" ht="26.25" customHeight="1" spans="1:26">
      <c r="A1" s="140" t="s">
        <v>35</v>
      </c>
      <c r="B1" s="141"/>
      <c r="C1" s="141"/>
      <c r="D1" s="141"/>
      <c r="E1" s="141"/>
      <c r="F1" s="141"/>
      <c r="G1" s="141"/>
      <c r="H1" s="141"/>
      <c r="I1" s="141"/>
      <c r="J1" s="142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32.25" customHeight="1" spans="1:26">
      <c r="A2" s="144" t="s">
        <v>36</v>
      </c>
      <c r="B2" s="144" t="s">
        <v>17</v>
      </c>
      <c r="C2" s="144" t="s">
        <v>100</v>
      </c>
      <c r="D2" s="144" t="s">
        <v>9</v>
      </c>
      <c r="E2" s="144"/>
      <c r="F2" s="142"/>
      <c r="G2" s="144" t="s">
        <v>38</v>
      </c>
      <c r="H2" s="144" t="s">
        <v>39</v>
      </c>
      <c r="I2" s="144" t="s">
        <v>40</v>
      </c>
      <c r="J2" s="145" t="s">
        <v>41</v>
      </c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 ht="30" customHeight="1" spans="1:26">
      <c r="A3" s="144" t="s">
        <v>42</v>
      </c>
      <c r="B3" s="141"/>
      <c r="C3" s="141"/>
      <c r="D3" s="141"/>
      <c r="E3" s="141"/>
      <c r="F3" s="141"/>
      <c r="G3" s="141"/>
      <c r="H3" s="141"/>
      <c r="I3" s="141"/>
      <c r="J3" s="142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36" customHeight="1" spans="1:26">
      <c r="A4" s="144" t="s">
        <v>43</v>
      </c>
      <c r="B4" s="144" t="s">
        <v>44</v>
      </c>
      <c r="C4" s="147" t="s">
        <v>45</v>
      </c>
      <c r="D4" s="148" t="s">
        <v>46</v>
      </c>
      <c r="E4" s="148" t="s">
        <v>47</v>
      </c>
      <c r="F4" s="148" t="s">
        <v>48</v>
      </c>
      <c r="G4" s="144" t="s">
        <v>49</v>
      </c>
      <c r="H4" s="148" t="s">
        <v>50</v>
      </c>
      <c r="I4" s="148" t="s">
        <v>51</v>
      </c>
      <c r="J4" s="148" t="s">
        <v>52</v>
      </c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72.75" customHeight="1" spans="1:26">
      <c r="A5" s="180" t="s">
        <v>138</v>
      </c>
      <c r="B5" s="157" t="s">
        <v>138</v>
      </c>
      <c r="C5" s="157" t="s">
        <v>139</v>
      </c>
      <c r="D5" s="157" t="s">
        <v>140</v>
      </c>
      <c r="E5" s="153" t="s">
        <v>140</v>
      </c>
      <c r="F5" s="151" t="s">
        <v>141</v>
      </c>
      <c r="G5" s="154">
        <v>5</v>
      </c>
      <c r="H5" s="181" t="s">
        <v>117</v>
      </c>
      <c r="I5" s="154">
        <v>5</v>
      </c>
      <c r="J5" s="154">
        <v>5</v>
      </c>
      <c r="K5" s="155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72.75" customHeight="1" spans="1:26">
      <c r="A6" s="156"/>
      <c r="B6" s="156"/>
      <c r="C6" s="157" t="s">
        <v>142</v>
      </c>
      <c r="D6" s="157" t="s">
        <v>140</v>
      </c>
      <c r="E6" s="153" t="s">
        <v>140</v>
      </c>
      <c r="F6" s="151" t="s">
        <v>141</v>
      </c>
      <c r="G6" s="154">
        <v>5</v>
      </c>
      <c r="H6" s="181" t="s">
        <v>117</v>
      </c>
      <c r="I6" s="154">
        <v>5</v>
      </c>
      <c r="J6" s="154">
        <v>5</v>
      </c>
      <c r="K6" s="155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72.75" customHeight="1" spans="1:26">
      <c r="A7" s="156"/>
      <c r="B7" s="156"/>
      <c r="C7" s="157" t="s">
        <v>143</v>
      </c>
      <c r="D7" s="157" t="s">
        <v>140</v>
      </c>
      <c r="E7" s="153" t="s">
        <v>140</v>
      </c>
      <c r="F7" s="151" t="s">
        <v>141</v>
      </c>
      <c r="G7" s="154">
        <v>5</v>
      </c>
      <c r="H7" s="181" t="s">
        <v>117</v>
      </c>
      <c r="I7" s="154">
        <v>5</v>
      </c>
      <c r="J7" s="154">
        <v>5</v>
      </c>
      <c r="K7" s="155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72.75" customHeight="1" spans="1:26">
      <c r="A8" s="156"/>
      <c r="B8" s="156"/>
      <c r="C8" s="157" t="s">
        <v>144</v>
      </c>
      <c r="D8" s="157" t="s">
        <v>140</v>
      </c>
      <c r="E8" s="153" t="s">
        <v>140</v>
      </c>
      <c r="F8" s="151" t="s">
        <v>141</v>
      </c>
      <c r="G8" s="154">
        <v>5</v>
      </c>
      <c r="H8" s="181" t="s">
        <v>117</v>
      </c>
      <c r="I8" s="154">
        <v>5</v>
      </c>
      <c r="J8" s="154">
        <v>5</v>
      </c>
      <c r="K8" s="155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72.75" customHeight="1" spans="1:26">
      <c r="A9" s="156"/>
      <c r="B9" s="156"/>
      <c r="C9" s="157" t="s">
        <v>145</v>
      </c>
      <c r="D9" s="157" t="s">
        <v>140</v>
      </c>
      <c r="E9" s="153" t="s">
        <v>140</v>
      </c>
      <c r="F9" s="151" t="s">
        <v>141</v>
      </c>
      <c r="G9" s="154">
        <v>5</v>
      </c>
      <c r="H9" s="181" t="s">
        <v>117</v>
      </c>
      <c r="I9" s="154">
        <v>5</v>
      </c>
      <c r="J9" s="154">
        <v>5</v>
      </c>
      <c r="K9" s="155" t="s">
        <v>146</v>
      </c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74.25" customHeight="1" spans="1:26">
      <c r="A10" s="156"/>
      <c r="B10" s="156"/>
      <c r="C10" s="157" t="s">
        <v>147</v>
      </c>
      <c r="D10" s="157" t="s">
        <v>140</v>
      </c>
      <c r="E10" s="153" t="s">
        <v>140</v>
      </c>
      <c r="F10" s="151" t="s">
        <v>141</v>
      </c>
      <c r="G10" s="154">
        <v>5</v>
      </c>
      <c r="H10" s="181" t="s">
        <v>117</v>
      </c>
      <c r="I10" s="154">
        <v>5</v>
      </c>
      <c r="J10" s="154">
        <v>5</v>
      </c>
      <c r="K10" s="155" t="s">
        <v>148</v>
      </c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74.25" customHeight="1" spans="1:26">
      <c r="A11" s="156"/>
      <c r="B11" s="156"/>
      <c r="C11" s="157" t="s">
        <v>149</v>
      </c>
      <c r="D11" s="157" t="s">
        <v>140</v>
      </c>
      <c r="E11" s="153" t="s">
        <v>140</v>
      </c>
      <c r="F11" s="151" t="s">
        <v>141</v>
      </c>
      <c r="G11" s="154">
        <v>5</v>
      </c>
      <c r="H11" s="181" t="s">
        <v>117</v>
      </c>
      <c r="I11" s="154">
        <v>5</v>
      </c>
      <c r="J11" s="154">
        <v>5</v>
      </c>
      <c r="K11" s="155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74.25" customHeight="1" spans="1:26">
      <c r="A12" s="156"/>
      <c r="B12" s="156"/>
      <c r="C12" s="157" t="s">
        <v>150</v>
      </c>
      <c r="D12" s="157" t="s">
        <v>140</v>
      </c>
      <c r="E12" s="153" t="s">
        <v>140</v>
      </c>
      <c r="F12" s="151" t="s">
        <v>141</v>
      </c>
      <c r="G12" s="154">
        <v>5</v>
      </c>
      <c r="H12" s="181" t="s">
        <v>117</v>
      </c>
      <c r="I12" s="154">
        <v>5</v>
      </c>
      <c r="J12" s="154">
        <v>5</v>
      </c>
      <c r="K12" s="155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74.25" customHeight="1" spans="1:26">
      <c r="A13" s="156"/>
      <c r="B13" s="150" t="s">
        <v>151</v>
      </c>
      <c r="C13" s="157" t="s">
        <v>152</v>
      </c>
      <c r="D13" s="157" t="s">
        <v>140</v>
      </c>
      <c r="E13" s="153" t="s">
        <v>140</v>
      </c>
      <c r="F13" s="151" t="s">
        <v>141</v>
      </c>
      <c r="G13" s="154">
        <v>10</v>
      </c>
      <c r="H13" s="181" t="s">
        <v>117</v>
      </c>
      <c r="I13" s="154">
        <v>10</v>
      </c>
      <c r="J13" s="154">
        <v>10</v>
      </c>
      <c r="K13" s="155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17" customHeight="1" spans="1:26">
      <c r="A14" s="158" t="s">
        <v>64</v>
      </c>
      <c r="B14" s="154" t="s">
        <v>65</v>
      </c>
      <c r="C14" s="151" t="s">
        <v>66</v>
      </c>
      <c r="D14" s="151" t="s">
        <v>153</v>
      </c>
      <c r="E14" s="159" t="s">
        <v>57</v>
      </c>
      <c r="F14" s="151" t="s">
        <v>68</v>
      </c>
      <c r="G14" s="154">
        <v>10</v>
      </c>
      <c r="H14" s="181"/>
      <c r="I14" s="153">
        <v>10</v>
      </c>
      <c r="J14" s="153">
        <v>10</v>
      </c>
      <c r="K14" s="155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56.75" customHeight="1" spans="1:26">
      <c r="A15" s="162"/>
      <c r="B15" s="154" t="s">
        <v>69</v>
      </c>
      <c r="C15" s="151" t="s">
        <v>70</v>
      </c>
      <c r="D15" s="151" t="s">
        <v>71</v>
      </c>
      <c r="E15" s="159" t="s">
        <v>57</v>
      </c>
      <c r="F15" s="151" t="s">
        <v>72</v>
      </c>
      <c r="G15" s="154">
        <v>20</v>
      </c>
      <c r="H15" s="153"/>
      <c r="I15" s="160">
        <v>20</v>
      </c>
      <c r="J15" s="160">
        <v>20</v>
      </c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93" customHeight="1" spans="1:26">
      <c r="A16" s="162"/>
      <c r="B16" s="164" t="s">
        <v>73</v>
      </c>
      <c r="C16" s="165" t="s">
        <v>74</v>
      </c>
      <c r="D16" s="165" t="s">
        <v>75</v>
      </c>
      <c r="E16" s="153" t="s">
        <v>76</v>
      </c>
      <c r="F16" s="157" t="s">
        <v>77</v>
      </c>
      <c r="G16" s="154">
        <v>10</v>
      </c>
      <c r="H16" s="153"/>
      <c r="I16" s="160">
        <v>10</v>
      </c>
      <c r="J16" s="160">
        <v>10</v>
      </c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76.5" customHeight="1" spans="1:26">
      <c r="A17" s="162"/>
      <c r="B17" s="167"/>
      <c r="C17" s="151" t="s">
        <v>79</v>
      </c>
      <c r="D17" s="157" t="s">
        <v>80</v>
      </c>
      <c r="E17" s="150" t="s">
        <v>81</v>
      </c>
      <c r="F17" s="168" t="s">
        <v>82</v>
      </c>
      <c r="G17" s="154">
        <v>10</v>
      </c>
      <c r="H17" s="153"/>
      <c r="I17" s="160">
        <v>10</v>
      </c>
      <c r="J17" s="160">
        <v>5</v>
      </c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76.5" customHeight="1" spans="1:26">
      <c r="A18" s="169"/>
      <c r="B18" s="164" t="s">
        <v>84</v>
      </c>
      <c r="C18" s="170" t="s">
        <v>85</v>
      </c>
      <c r="D18" s="151"/>
      <c r="E18" s="153"/>
      <c r="F18" s="151"/>
      <c r="G18" s="182"/>
      <c r="H18" s="153"/>
      <c r="I18" s="160"/>
      <c r="J18" s="160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39" customHeight="1" spans="1:26">
      <c r="A19" s="171" t="s">
        <v>87</v>
      </c>
      <c r="B19" s="172" t="s">
        <v>87</v>
      </c>
      <c r="C19" s="172" t="s">
        <v>88</v>
      </c>
      <c r="D19" s="141"/>
      <c r="E19" s="141"/>
      <c r="F19" s="142"/>
      <c r="G19" s="154"/>
      <c r="H19" s="153"/>
      <c r="I19" s="160"/>
      <c r="J19" s="160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27.75" customHeight="1" spans="1:26">
      <c r="A20" s="144" t="s">
        <v>89</v>
      </c>
      <c r="B20" s="141"/>
      <c r="C20" s="141"/>
      <c r="D20" s="141"/>
      <c r="E20" s="141"/>
      <c r="F20" s="141"/>
      <c r="G20" s="141"/>
      <c r="H20" s="141"/>
      <c r="I20" s="141"/>
      <c r="J20" s="142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36" customHeight="1" spans="1:26">
      <c r="A21" s="144" t="s">
        <v>43</v>
      </c>
      <c r="B21" s="144" t="s">
        <v>44</v>
      </c>
      <c r="C21" s="147" t="s">
        <v>45</v>
      </c>
      <c r="D21" s="148" t="s">
        <v>46</v>
      </c>
      <c r="E21" s="148" t="s">
        <v>47</v>
      </c>
      <c r="F21" s="148" t="s">
        <v>50</v>
      </c>
      <c r="G21" s="141"/>
      <c r="H21" s="142"/>
      <c r="I21" s="148" t="s">
        <v>51</v>
      </c>
      <c r="J21" s="148" t="s">
        <v>52</v>
      </c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36" customHeight="1" spans="1:26">
      <c r="A22" s="148" t="s">
        <v>90</v>
      </c>
      <c r="B22" s="173" t="s">
        <v>91</v>
      </c>
      <c r="C22" s="174" t="s">
        <v>92</v>
      </c>
      <c r="D22" s="142"/>
      <c r="E22" s="175" t="s">
        <v>93</v>
      </c>
      <c r="F22" s="148"/>
      <c r="G22" s="141"/>
      <c r="H22" s="142"/>
      <c r="I22" s="176"/>
      <c r="J22" s="176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29.25" customHeight="1" spans="1:26">
      <c r="A23" s="177"/>
      <c r="B23" s="141"/>
      <c r="C23" s="141"/>
      <c r="D23" s="141"/>
      <c r="E23" s="141"/>
      <c r="F23" s="141"/>
      <c r="G23" s="141"/>
      <c r="H23" s="142"/>
      <c r="I23" s="178">
        <f>SUM(I5:I19)+I22</f>
        <v>100</v>
      </c>
      <c r="J23" s="178">
        <f>SUM(J5:J19)+J22</f>
        <v>95</v>
      </c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34.5" customHeight="1" spans="1:26">
      <c r="A24" s="144" t="s">
        <v>94</v>
      </c>
      <c r="B24" s="144" t="s">
        <v>95</v>
      </c>
      <c r="C24" s="144"/>
      <c r="D24" s="144" t="s">
        <v>96</v>
      </c>
      <c r="E24" s="179"/>
      <c r="F24" s="141"/>
      <c r="G24" s="142"/>
      <c r="H24" s="144" t="s">
        <v>97</v>
      </c>
      <c r="I24" s="144"/>
      <c r="J24" s="142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34.5" customHeight="1" spans="1:26">
      <c r="A25" s="144" t="s">
        <v>98</v>
      </c>
      <c r="B25" s="144" t="s">
        <v>95</v>
      </c>
      <c r="C25" s="144"/>
      <c r="D25" s="144" t="s">
        <v>96</v>
      </c>
      <c r="E25" s="148"/>
      <c r="F25" s="141"/>
      <c r="G25" s="142"/>
      <c r="H25" s="144" t="s">
        <v>97</v>
      </c>
      <c r="I25" s="144"/>
      <c r="J25" s="142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67.5" customHeight="1" spans="1:26">
      <c r="A26" s="176" t="s">
        <v>99</v>
      </c>
      <c r="B26" s="141"/>
      <c r="C26" s="141"/>
      <c r="D26" s="141"/>
      <c r="E26" s="141"/>
      <c r="F26" s="141"/>
      <c r="G26" s="141"/>
      <c r="H26" s="141"/>
      <c r="I26" s="141"/>
      <c r="J26" s="142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31" spans="1:26">
      <c r="C31" s="183" t="s">
        <v>154</v>
      </c>
    </row>
  </sheetData>
  <mergeCells count="18">
    <mergeCell ref="A1:J1"/>
    <mergeCell ref="E2:F2"/>
    <mergeCell ref="A3:J3"/>
    <mergeCell ref="C19:F19"/>
    <mergeCell ref="A20:J20"/>
    <mergeCell ref="F21:H21"/>
    <mergeCell ref="C22:D22"/>
    <mergeCell ref="F22:H22"/>
    <mergeCell ref="A23:H23"/>
    <mergeCell ref="E24:G24"/>
    <mergeCell ref="I24:J24"/>
    <mergeCell ref="E25:G25"/>
    <mergeCell ref="I25:J25"/>
    <mergeCell ref="A26:J26"/>
    <mergeCell ref="A5:A13"/>
    <mergeCell ref="A14:A18"/>
    <mergeCell ref="B5:B12"/>
    <mergeCell ref="B16:B1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zoomScale="78" zoomScaleNormal="78" topLeftCell="A6" workbookViewId="0">
      <selection activeCell="J9" sqref="J9"/>
    </sheetView>
  </sheetViews>
  <sheetFormatPr defaultColWidth="9" defaultRowHeight="16.8"/>
  <cols>
    <col min="1" max="1" width="20.7321428571429" style="1" customWidth="1"/>
    <col min="2" max="2" width="21.1785714285714" style="1" customWidth="1"/>
    <col min="3" max="3" width="49.2678571428571" style="1" customWidth="1"/>
    <col min="4" max="4" width="52.7321428571429" style="1" customWidth="1"/>
    <col min="5" max="5" width="20" style="1" customWidth="1"/>
    <col min="6" max="6" width="37.0892857142857" style="1" customWidth="1"/>
    <col min="10" max="10" width="21.7321428571429" style="1" customWidth="1"/>
  </cols>
  <sheetData>
    <row r="1" ht="26.25" customHeight="1" spans="1:26">
      <c r="A1" s="140" t="s">
        <v>35</v>
      </c>
      <c r="B1" s="141"/>
      <c r="C1" s="141"/>
      <c r="D1" s="141"/>
      <c r="E1" s="141"/>
      <c r="F1" s="141"/>
      <c r="G1" s="141"/>
      <c r="H1" s="141"/>
      <c r="I1" s="141"/>
      <c r="J1" s="142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32.25" customHeight="1" spans="1:26">
      <c r="A2" s="144" t="s">
        <v>36</v>
      </c>
      <c r="B2" s="144" t="s">
        <v>18</v>
      </c>
      <c r="C2" s="144" t="s">
        <v>100</v>
      </c>
      <c r="D2" s="144" t="s">
        <v>9</v>
      </c>
      <c r="E2" s="144"/>
      <c r="F2" s="142"/>
      <c r="G2" s="144" t="s">
        <v>38</v>
      </c>
      <c r="H2" s="144" t="s">
        <v>39</v>
      </c>
      <c r="I2" s="144" t="s">
        <v>40</v>
      </c>
      <c r="J2" s="145" t="s">
        <v>41</v>
      </c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 ht="30" customHeight="1" spans="1:26">
      <c r="A3" s="144" t="s">
        <v>42</v>
      </c>
      <c r="B3" s="141"/>
      <c r="C3" s="141"/>
      <c r="D3" s="141"/>
      <c r="E3" s="141"/>
      <c r="F3" s="141"/>
      <c r="G3" s="141"/>
      <c r="H3" s="141"/>
      <c r="I3" s="141"/>
      <c r="J3" s="142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36" customHeight="1" spans="1:26">
      <c r="A4" s="144" t="s">
        <v>43</v>
      </c>
      <c r="B4" s="144" t="s">
        <v>44</v>
      </c>
      <c r="C4" s="147" t="s">
        <v>45</v>
      </c>
      <c r="D4" s="148" t="s">
        <v>46</v>
      </c>
      <c r="E4" s="148" t="s">
        <v>47</v>
      </c>
      <c r="F4" s="148" t="s">
        <v>48</v>
      </c>
      <c r="G4" s="144" t="s">
        <v>49</v>
      </c>
      <c r="H4" s="148" t="s">
        <v>50</v>
      </c>
      <c r="I4" s="148" t="s">
        <v>51</v>
      </c>
      <c r="J4" s="148" t="s">
        <v>52</v>
      </c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53" customHeight="1" spans="1:26">
      <c r="A5" s="149" t="s">
        <v>155</v>
      </c>
      <c r="B5" s="150" t="s">
        <v>138</v>
      </c>
      <c r="C5" s="151" t="s">
        <v>156</v>
      </c>
      <c r="D5" s="152" t="s">
        <v>140</v>
      </c>
      <c r="E5" s="153" t="s">
        <v>140</v>
      </c>
      <c r="F5" s="151" t="s">
        <v>141</v>
      </c>
      <c r="G5" s="154">
        <v>10</v>
      </c>
      <c r="H5" s="154" t="s">
        <v>117</v>
      </c>
      <c r="I5" s="154">
        <v>10</v>
      </c>
      <c r="J5" s="154">
        <v>10</v>
      </c>
      <c r="K5" s="155"/>
      <c r="L5" s="146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72.75" customHeight="1" spans="1:26">
      <c r="A6" s="156"/>
      <c r="B6" s="156"/>
      <c r="C6" s="157" t="s">
        <v>157</v>
      </c>
      <c r="D6" s="152" t="s">
        <v>140</v>
      </c>
      <c r="E6" s="153" t="s">
        <v>140</v>
      </c>
      <c r="F6" s="151" t="s">
        <v>141</v>
      </c>
      <c r="G6" s="154">
        <v>10</v>
      </c>
      <c r="H6" s="154" t="s">
        <v>117</v>
      </c>
      <c r="I6" s="154">
        <v>10</v>
      </c>
      <c r="J6" s="154">
        <v>10</v>
      </c>
      <c r="K6" s="155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72.75" customHeight="1" spans="1:26">
      <c r="A7" s="156"/>
      <c r="B7" s="156"/>
      <c r="C7" s="151" t="s">
        <v>158</v>
      </c>
      <c r="D7" s="152" t="s">
        <v>140</v>
      </c>
      <c r="E7" s="153" t="s">
        <v>140</v>
      </c>
      <c r="F7" s="151" t="s">
        <v>141</v>
      </c>
      <c r="G7" s="154">
        <v>10</v>
      </c>
      <c r="H7" s="154" t="s">
        <v>117</v>
      </c>
      <c r="I7" s="154">
        <v>10</v>
      </c>
      <c r="J7" s="154">
        <v>10</v>
      </c>
      <c r="K7" s="155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72.75" customHeight="1" spans="1:26">
      <c r="A8" s="156"/>
      <c r="B8" s="156"/>
      <c r="C8" s="157" t="s">
        <v>159</v>
      </c>
      <c r="D8" s="152" t="s">
        <v>140</v>
      </c>
      <c r="E8" s="153" t="s">
        <v>140</v>
      </c>
      <c r="F8" s="151" t="s">
        <v>141</v>
      </c>
      <c r="G8" s="154">
        <v>10</v>
      </c>
      <c r="H8" s="154" t="s">
        <v>117</v>
      </c>
      <c r="I8" s="154">
        <v>10</v>
      </c>
      <c r="J8" s="154">
        <v>10</v>
      </c>
      <c r="K8" s="155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74.25" customHeight="1" spans="1:26">
      <c r="A9" s="156"/>
      <c r="B9" s="150" t="s">
        <v>151</v>
      </c>
      <c r="C9" s="157" t="s">
        <v>160</v>
      </c>
      <c r="D9" s="151"/>
      <c r="E9" s="153" t="s">
        <v>140</v>
      </c>
      <c r="F9" s="151" t="s">
        <v>161</v>
      </c>
      <c r="G9" s="154">
        <v>10</v>
      </c>
      <c r="H9" s="154" t="s">
        <v>162</v>
      </c>
      <c r="I9" s="154">
        <v>10</v>
      </c>
      <c r="J9" s="154">
        <v>5</v>
      </c>
      <c r="K9" s="155" t="s">
        <v>163</v>
      </c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17" customHeight="1" spans="1:26">
      <c r="A10" s="158" t="s">
        <v>64</v>
      </c>
      <c r="B10" s="154" t="s">
        <v>65</v>
      </c>
      <c r="C10" s="151" t="s">
        <v>66</v>
      </c>
      <c r="D10" s="151" t="s">
        <v>164</v>
      </c>
      <c r="E10" s="159" t="s">
        <v>57</v>
      </c>
      <c r="F10" s="151" t="s">
        <v>68</v>
      </c>
      <c r="G10" s="154">
        <v>10</v>
      </c>
      <c r="H10" s="154"/>
      <c r="I10" s="160">
        <v>10</v>
      </c>
      <c r="J10" s="160">
        <v>10</v>
      </c>
      <c r="K10" s="161" t="s">
        <v>165</v>
      </c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56.75" customHeight="1" spans="1:26">
      <c r="A11" s="162"/>
      <c r="B11" s="154" t="s">
        <v>69</v>
      </c>
      <c r="C11" s="151" t="s">
        <v>70</v>
      </c>
      <c r="D11" s="151" t="s">
        <v>71</v>
      </c>
      <c r="E11" s="159" t="s">
        <v>57</v>
      </c>
      <c r="F11" s="151" t="s">
        <v>72</v>
      </c>
      <c r="G11" s="163">
        <v>10</v>
      </c>
      <c r="H11" s="163"/>
      <c r="I11" s="160">
        <v>10</v>
      </c>
      <c r="J11" s="160">
        <v>10</v>
      </c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93" customHeight="1" spans="1:26">
      <c r="A12" s="162"/>
      <c r="B12" s="164" t="s">
        <v>73</v>
      </c>
      <c r="C12" s="165" t="s">
        <v>74</v>
      </c>
      <c r="D12" s="165" t="s">
        <v>75</v>
      </c>
      <c r="E12" s="153" t="s">
        <v>76</v>
      </c>
      <c r="F12" s="157" t="s">
        <v>77</v>
      </c>
      <c r="G12" s="166">
        <v>20</v>
      </c>
      <c r="H12" s="166"/>
      <c r="I12" s="160">
        <v>20</v>
      </c>
      <c r="J12" s="160">
        <v>20</v>
      </c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76.5" customHeight="1" spans="1:26">
      <c r="A13" s="162"/>
      <c r="B13" s="167"/>
      <c r="C13" s="151" t="s">
        <v>79</v>
      </c>
      <c r="D13" s="157" t="s">
        <v>80</v>
      </c>
      <c r="E13" s="150" t="s">
        <v>81</v>
      </c>
      <c r="F13" s="168" t="s">
        <v>82</v>
      </c>
      <c r="G13" s="166">
        <v>10</v>
      </c>
      <c r="H13" s="166"/>
      <c r="I13" s="160">
        <v>10</v>
      </c>
      <c r="J13" s="160">
        <v>10</v>
      </c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76.5" customHeight="1" spans="1:26">
      <c r="A14" s="169"/>
      <c r="B14" s="164" t="s">
        <v>84</v>
      </c>
      <c r="C14" s="170" t="s">
        <v>85</v>
      </c>
      <c r="D14" s="151"/>
      <c r="E14" s="153"/>
      <c r="F14" s="151"/>
      <c r="G14" s="166"/>
      <c r="H14" s="153"/>
      <c r="I14" s="160"/>
      <c r="J14" s="160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39" customHeight="1" spans="1:26">
      <c r="A15" s="171" t="s">
        <v>87</v>
      </c>
      <c r="B15" s="172" t="s">
        <v>87</v>
      </c>
      <c r="C15" s="172" t="s">
        <v>88</v>
      </c>
      <c r="D15" s="141"/>
      <c r="E15" s="141"/>
      <c r="F15" s="142"/>
      <c r="G15" s="154"/>
      <c r="H15" s="153"/>
      <c r="I15" s="160"/>
      <c r="J15" s="160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27.75" customHeight="1" spans="1:26">
      <c r="A16" s="144" t="s">
        <v>89</v>
      </c>
      <c r="B16" s="141"/>
      <c r="C16" s="141"/>
      <c r="D16" s="141"/>
      <c r="E16" s="141"/>
      <c r="F16" s="141"/>
      <c r="G16" s="141"/>
      <c r="H16" s="141"/>
      <c r="I16" s="141"/>
      <c r="J16" s="142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36" customHeight="1" spans="1:26">
      <c r="A17" s="144" t="s">
        <v>43</v>
      </c>
      <c r="B17" s="144" t="s">
        <v>44</v>
      </c>
      <c r="C17" s="147" t="s">
        <v>45</v>
      </c>
      <c r="D17" s="148" t="s">
        <v>46</v>
      </c>
      <c r="E17" s="148" t="s">
        <v>47</v>
      </c>
      <c r="F17" s="148" t="s">
        <v>50</v>
      </c>
      <c r="G17" s="141"/>
      <c r="H17" s="142"/>
      <c r="I17" s="148" t="s">
        <v>51</v>
      </c>
      <c r="J17" s="148" t="s">
        <v>52</v>
      </c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8" customHeight="1" spans="1:26">
      <c r="A18" s="148" t="s">
        <v>90</v>
      </c>
      <c r="B18" s="173" t="s">
        <v>91</v>
      </c>
      <c r="C18" s="174" t="s">
        <v>92</v>
      </c>
      <c r="D18" s="142"/>
      <c r="E18" s="175" t="s">
        <v>93</v>
      </c>
      <c r="F18" s="148"/>
      <c r="G18" s="141"/>
      <c r="H18" s="142"/>
      <c r="I18" s="176"/>
      <c r="J18" s="176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29.25" customHeight="1" spans="1:26">
      <c r="A19" s="177"/>
      <c r="B19" s="141"/>
      <c r="C19" s="141"/>
      <c r="D19" s="141"/>
      <c r="E19" s="141"/>
      <c r="F19" s="141"/>
      <c r="G19" s="141"/>
      <c r="H19" s="142"/>
      <c r="I19" s="178">
        <f>SUM(I5:I15)+I18</f>
        <v>100</v>
      </c>
      <c r="J19" s="178">
        <f>SUM(J5:J15)+J18</f>
        <v>95</v>
      </c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34.5" customHeight="1" spans="1:26">
      <c r="A20" s="144" t="s">
        <v>94</v>
      </c>
      <c r="B20" s="144" t="s">
        <v>95</v>
      </c>
      <c r="C20" s="144"/>
      <c r="D20" s="144" t="s">
        <v>96</v>
      </c>
      <c r="E20" s="179"/>
      <c r="F20" s="141"/>
      <c r="G20" s="142"/>
      <c r="H20" s="144" t="s">
        <v>97</v>
      </c>
      <c r="I20" s="144"/>
      <c r="J20" s="142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34.5" customHeight="1" spans="1:26">
      <c r="A21" s="144" t="s">
        <v>98</v>
      </c>
      <c r="B21" s="144" t="s">
        <v>95</v>
      </c>
      <c r="C21" s="144"/>
      <c r="D21" s="144" t="s">
        <v>96</v>
      </c>
      <c r="E21" s="148"/>
      <c r="F21" s="141"/>
      <c r="G21" s="142"/>
      <c r="H21" s="144" t="s">
        <v>97</v>
      </c>
      <c r="I21" s="144"/>
      <c r="J21" s="142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67.5" customHeight="1" spans="1:26">
      <c r="A22" s="176" t="s">
        <v>99</v>
      </c>
      <c r="B22" s="141"/>
      <c r="C22" s="141"/>
      <c r="D22" s="141"/>
      <c r="E22" s="141"/>
      <c r="F22" s="141"/>
      <c r="G22" s="141"/>
      <c r="H22" s="141"/>
      <c r="I22" s="141"/>
      <c r="J22" s="142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</sheetData>
  <mergeCells count="18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</mergeCells>
  <hyperlinks>
    <hyperlink ref="K10" r:id="rId1" display="https://www.tapd.cn/tapd_fe/50372234/bug/list?filter=current_owner=&quot;刘子昱&quot; and version_report=&quot;测试版本&quot; and created=&quot;2026-02-01~2026-02-28&quot;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61" zoomScaleNormal="61" topLeftCell="A2" workbookViewId="0">
      <selection activeCell="J12" sqref="J12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25.9107142857143" style="1" customWidth="1"/>
    <col min="9" max="9" width="18.2767857142857" style="1" customWidth="1"/>
    <col min="10" max="10" width="26.232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166</v>
      </c>
      <c r="B2" s="5" t="s">
        <v>167</v>
      </c>
      <c r="C2" s="5" t="s">
        <v>168</v>
      </c>
      <c r="D2" s="5" t="s">
        <v>39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ht="30" customHeight="1" spans="1:11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</row>
    <row r="5" ht="31.5" customHeight="1" spans="1:11">
      <c r="A5" s="10" t="s">
        <v>53</v>
      </c>
      <c r="B5" t="s">
        <v>54</v>
      </c>
      <c r="C5" s="45" t="s">
        <v>119</v>
      </c>
      <c r="D5" s="136" t="s">
        <v>169</v>
      </c>
      <c r="E5" s="29" t="s">
        <v>57</v>
      </c>
      <c r="F5" s="48" t="s">
        <v>58</v>
      </c>
      <c r="G5" s="16">
        <v>10</v>
      </c>
      <c r="H5" s="17" t="s">
        <v>169</v>
      </c>
      <c r="I5" s="29">
        <v>10</v>
      </c>
      <c r="J5" s="29">
        <v>10</v>
      </c>
      <c r="K5" s="19"/>
    </row>
    <row r="6" ht="33" customHeight="1" spans="1:11">
      <c r="A6" s="20"/>
      <c r="C6" s="76" t="s">
        <v>139</v>
      </c>
      <c r="D6" s="136" t="s">
        <v>169</v>
      </c>
      <c r="E6" s="29" t="s">
        <v>57</v>
      </c>
      <c r="F6" s="20"/>
      <c r="G6" s="16">
        <v>10</v>
      </c>
      <c r="H6" s="17" t="s">
        <v>169</v>
      </c>
      <c r="I6" s="29">
        <v>10</v>
      </c>
      <c r="J6" s="29">
        <v>10</v>
      </c>
      <c r="K6" s="23"/>
    </row>
    <row r="7" ht="35" customHeight="1" spans="1:11">
      <c r="A7" s="20"/>
      <c r="C7" s="138" t="s">
        <v>170</v>
      </c>
      <c r="D7" s="79" t="s">
        <v>169</v>
      </c>
      <c r="E7" s="13" t="s">
        <v>57</v>
      </c>
      <c r="F7" s="20"/>
      <c r="G7" s="16">
        <v>10</v>
      </c>
      <c r="H7" s="17" t="s">
        <v>169</v>
      </c>
      <c r="I7" s="29">
        <v>10</v>
      </c>
      <c r="J7" s="29">
        <v>10</v>
      </c>
      <c r="K7" s="23"/>
    </row>
    <row r="8" ht="74.25" customHeight="1" spans="1:11">
      <c r="A8" s="20"/>
      <c r="B8" s="30" t="s">
        <v>60</v>
      </c>
      <c r="C8" s="50" t="s">
        <v>171</v>
      </c>
      <c r="D8" s="79" t="s">
        <v>169</v>
      </c>
      <c r="E8" s="13" t="s">
        <v>57</v>
      </c>
      <c r="F8" s="20"/>
      <c r="G8" s="16">
        <v>20</v>
      </c>
      <c r="H8" s="17" t="s">
        <v>172</v>
      </c>
      <c r="I8" s="29">
        <v>20</v>
      </c>
      <c r="J8" s="29">
        <v>20</v>
      </c>
      <c r="K8" s="23"/>
    </row>
    <row r="9" ht="117" customHeight="1" spans="1:11">
      <c r="A9" s="9" t="s">
        <v>64</v>
      </c>
      <c r="B9" s="41" t="s">
        <v>65</v>
      </c>
      <c r="C9" s="42" t="s">
        <v>66</v>
      </c>
      <c r="D9" s="42" t="s">
        <v>67</v>
      </c>
      <c r="E9" s="43" t="s">
        <v>57</v>
      </c>
      <c r="F9" s="44" t="s">
        <v>68</v>
      </c>
      <c r="G9" s="17">
        <v>10</v>
      </c>
      <c r="H9" s="72"/>
      <c r="I9" s="17">
        <v>8</v>
      </c>
      <c r="J9" s="18">
        <v>8</v>
      </c>
      <c r="K9" s="23" t="s">
        <v>173</v>
      </c>
    </row>
    <row r="10" ht="156.75" customHeight="1" spans="1:11">
      <c r="A10" s="20"/>
      <c r="B10" s="41" t="s">
        <v>69</v>
      </c>
      <c r="C10" s="42" t="s">
        <v>70</v>
      </c>
      <c r="D10" s="42" t="s">
        <v>71</v>
      </c>
      <c r="E10" s="43" t="s">
        <v>57</v>
      </c>
      <c r="F10" s="44" t="s">
        <v>72</v>
      </c>
      <c r="G10" s="16">
        <v>20</v>
      </c>
      <c r="H10" s="13"/>
      <c r="I10" s="17">
        <v>20</v>
      </c>
      <c r="J10" s="18">
        <v>20</v>
      </c>
      <c r="K10" t="s">
        <v>174</v>
      </c>
    </row>
    <row r="11" ht="93" customHeight="1" spans="1:11">
      <c r="A11" s="20"/>
      <c r="B11" s="26" t="s">
        <v>73</v>
      </c>
      <c r="C11" s="46" t="s">
        <v>74</v>
      </c>
      <c r="D11" s="47" t="s">
        <v>75</v>
      </c>
      <c r="E11" s="15" t="s">
        <v>76</v>
      </c>
      <c r="F11" s="48" t="s">
        <v>77</v>
      </c>
      <c r="G11" s="16">
        <v>10</v>
      </c>
      <c r="H11" s="13" t="s">
        <v>175</v>
      </c>
      <c r="I11" s="18">
        <v>10</v>
      </c>
      <c r="J11" s="18">
        <v>10</v>
      </c>
    </row>
    <row r="12" ht="76.5" customHeight="1" spans="1:11">
      <c r="A12" s="20"/>
      <c r="B12" s="21"/>
      <c r="C12" s="49" t="s">
        <v>79</v>
      </c>
      <c r="D12" s="50" t="s">
        <v>80</v>
      </c>
      <c r="E12" s="30" t="s">
        <v>81</v>
      </c>
      <c r="F12" s="51" t="s">
        <v>82</v>
      </c>
      <c r="G12" s="16">
        <v>10</v>
      </c>
      <c r="H12" s="139"/>
      <c r="I12" s="18">
        <v>9</v>
      </c>
      <c r="J12" s="18">
        <v>9</v>
      </c>
    </row>
    <row r="13" ht="76.5" customHeight="1" spans="1:11">
      <c r="A13" s="21"/>
      <c r="B13" s="52" t="s">
        <v>84</v>
      </c>
      <c r="C13" s="53" t="s">
        <v>85</v>
      </c>
      <c r="D13" s="54"/>
      <c r="E13" s="55"/>
      <c r="F13" s="56"/>
      <c r="G13" s="57"/>
      <c r="H13" s="13"/>
      <c r="I13" s="18"/>
      <c r="J13" s="18"/>
    </row>
    <row r="14" ht="39" customHeight="1" spans="1:11">
      <c r="A14" s="58" t="s">
        <v>87</v>
      </c>
      <c r="B14" s="59" t="s">
        <v>87</v>
      </c>
      <c r="C14" s="59" t="s">
        <v>88</v>
      </c>
      <c r="D14" s="3"/>
      <c r="E14" s="3"/>
      <c r="F14" s="4"/>
      <c r="G14" s="16"/>
      <c r="H14" s="13"/>
      <c r="I14" s="18"/>
      <c r="J14" s="18"/>
    </row>
    <row r="15" ht="28" customHeight="1" spans="1:11">
      <c r="A15" s="5" t="s">
        <v>89</v>
      </c>
      <c r="B15" s="3"/>
      <c r="C15" s="3"/>
      <c r="D15" s="3"/>
      <c r="E15" s="3"/>
      <c r="F15" s="3"/>
      <c r="G15" s="3"/>
      <c r="H15" s="3"/>
      <c r="I15" s="3"/>
      <c r="J15" s="4"/>
    </row>
    <row r="16" ht="36" customHeight="1" spans="1:11">
      <c r="A16" s="7" t="s">
        <v>43</v>
      </c>
      <c r="B16" s="7" t="s">
        <v>44</v>
      </c>
      <c r="C16" s="8" t="s">
        <v>45</v>
      </c>
      <c r="D16" s="8" t="s">
        <v>46</v>
      </c>
      <c r="E16" s="8" t="s">
        <v>47</v>
      </c>
      <c r="F16" s="9" t="s">
        <v>50</v>
      </c>
      <c r="G16" s="3"/>
      <c r="H16" s="4"/>
      <c r="I16" s="9" t="s">
        <v>51</v>
      </c>
      <c r="J16" s="9" t="s">
        <v>52</v>
      </c>
    </row>
    <row r="17" ht="18" customHeight="1" spans="1:10">
      <c r="A17" s="61" t="s">
        <v>90</v>
      </c>
      <c r="B17" s="62" t="s">
        <v>91</v>
      </c>
      <c r="C17" s="63" t="s">
        <v>92</v>
      </c>
      <c r="D17" s="4"/>
      <c r="E17" s="64" t="s">
        <v>93</v>
      </c>
      <c r="F17" s="8"/>
      <c r="G17" s="3"/>
      <c r="H17" s="4"/>
      <c r="I17" s="65"/>
      <c r="J17" s="65"/>
    </row>
    <row r="18" ht="29.25" customHeight="1" spans="1:10">
      <c r="A18" s="66"/>
      <c r="B18" s="3"/>
      <c r="C18" s="3"/>
      <c r="D18" s="3"/>
      <c r="E18" s="3"/>
      <c r="F18" s="3"/>
      <c r="G18" s="3"/>
      <c r="H18" s="4"/>
      <c r="I18" s="67">
        <f>SUM(I5:I14)+I17</f>
        <v>97</v>
      </c>
      <c r="J18" s="67">
        <f>SUM(J5:J14)+J17</f>
        <v>97</v>
      </c>
    </row>
    <row r="19" ht="35" customHeight="1" spans="1:10">
      <c r="A19" s="68" t="s">
        <v>94</v>
      </c>
      <c r="B19" s="68" t="s">
        <v>95</v>
      </c>
      <c r="C19" s="68"/>
      <c r="D19" s="68" t="s">
        <v>96</v>
      </c>
      <c r="E19" s="69"/>
      <c r="F19" s="3"/>
      <c r="G19" s="4"/>
      <c r="H19" s="68" t="s">
        <v>97</v>
      </c>
      <c r="I19" s="68"/>
      <c r="J19" s="4"/>
    </row>
    <row r="20" ht="35" customHeight="1" spans="1:10">
      <c r="A20" s="68" t="s">
        <v>98</v>
      </c>
      <c r="B20" s="68" t="s">
        <v>95</v>
      </c>
      <c r="C20" s="68"/>
      <c r="D20" s="68" t="s">
        <v>96</v>
      </c>
      <c r="E20" s="9"/>
      <c r="F20" s="3"/>
      <c r="G20" s="4"/>
      <c r="H20" s="68" t="s">
        <v>97</v>
      </c>
      <c r="I20" s="68"/>
      <c r="J20" s="4"/>
    </row>
    <row r="21" ht="68" customHeight="1" spans="1:10">
      <c r="A21" s="71" t="s">
        <v>99</v>
      </c>
      <c r="B21" s="3"/>
      <c r="C21" s="3"/>
      <c r="D21" s="3"/>
      <c r="E21" s="3"/>
      <c r="F21" s="3"/>
      <c r="G21" s="3"/>
      <c r="H21" s="3"/>
      <c r="I21" s="3"/>
      <c r="J21" s="4"/>
    </row>
    <row r="22" ht="68" customHeight="1" spans="1:10">
      <c r="H22" s="80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58" zoomScaleNormal="58" topLeftCell="A4" workbookViewId="0">
      <selection activeCell="I12" sqref="I12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36</v>
      </c>
      <c r="B2" s="5" t="s">
        <v>22</v>
      </c>
      <c r="C2" s="5" t="s">
        <v>100</v>
      </c>
      <c r="D2" s="5" t="s">
        <v>39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ht="30" customHeight="1" spans="1:11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/>
      <c r="J4" s="9" t="s">
        <v>52</v>
      </c>
    </row>
    <row r="5" ht="31.5" customHeight="1" spans="1:11">
      <c r="A5" s="10" t="s">
        <v>53</v>
      </c>
      <c r="B5" s="135" t="s">
        <v>54</v>
      </c>
      <c r="C5" s="50" t="s">
        <v>176</v>
      </c>
      <c r="D5" s="136" t="s">
        <v>177</v>
      </c>
      <c r="E5" s="29" t="s">
        <v>57</v>
      </c>
      <c r="F5" s="48" t="s">
        <v>58</v>
      </c>
      <c r="G5" s="16">
        <v>10</v>
      </c>
      <c r="H5" s="17" t="s">
        <v>178</v>
      </c>
      <c r="I5" s="29">
        <v>10</v>
      </c>
      <c r="J5" s="29">
        <v>10</v>
      </c>
      <c r="K5" s="19"/>
    </row>
    <row r="6" ht="72.75" customHeight="1" spans="1:11">
      <c r="A6" s="20"/>
      <c r="B6" s="20"/>
      <c r="C6" s="78" t="s">
        <v>179</v>
      </c>
      <c r="D6" s="136" t="s">
        <v>180</v>
      </c>
      <c r="E6" s="29" t="s">
        <v>57</v>
      </c>
      <c r="F6" s="20"/>
      <c r="G6" s="16">
        <v>10</v>
      </c>
      <c r="H6" s="28" t="s">
        <v>181</v>
      </c>
      <c r="I6" s="29">
        <v>10</v>
      </c>
      <c r="J6" s="29">
        <v>10</v>
      </c>
      <c r="K6" s="23"/>
    </row>
    <row r="7" ht="74.25" customHeight="1" spans="1:11">
      <c r="A7" s="20"/>
      <c r="B7" s="21"/>
      <c r="C7" s="50" t="s">
        <v>182</v>
      </c>
      <c r="D7" s="79" t="s">
        <v>183</v>
      </c>
      <c r="E7" s="13" t="s">
        <v>57</v>
      </c>
      <c r="F7" s="20"/>
      <c r="G7" s="16">
        <v>10</v>
      </c>
      <c r="H7" s="28" t="s">
        <v>181</v>
      </c>
      <c r="I7" s="29">
        <v>10</v>
      </c>
      <c r="J7" s="29">
        <v>10</v>
      </c>
      <c r="K7" s="23"/>
    </row>
    <row r="8" ht="74.25" customHeight="1" spans="1:11">
      <c r="A8" s="20"/>
      <c r="B8" s="30" t="s">
        <v>60</v>
      </c>
      <c r="C8" s="49" t="s">
        <v>184</v>
      </c>
      <c r="D8" s="79" t="s">
        <v>185</v>
      </c>
      <c r="E8" s="13" t="s">
        <v>57</v>
      </c>
      <c r="F8" s="20"/>
      <c r="G8" s="16">
        <v>20</v>
      </c>
      <c r="H8" s="28" t="s">
        <v>186</v>
      </c>
      <c r="I8" s="29">
        <v>20</v>
      </c>
      <c r="J8" s="29">
        <v>20</v>
      </c>
      <c r="K8" s="23"/>
    </row>
    <row r="9" ht="117" customHeight="1" spans="1:11">
      <c r="A9" s="9" t="s">
        <v>64</v>
      </c>
      <c r="B9" s="41" t="s">
        <v>65</v>
      </c>
      <c r="C9" s="42" t="s">
        <v>66</v>
      </c>
      <c r="D9" s="42" t="s">
        <v>67</v>
      </c>
      <c r="E9" s="43" t="s">
        <v>57</v>
      </c>
      <c r="F9" s="44" t="s">
        <v>68</v>
      </c>
      <c r="G9" s="16">
        <v>10</v>
      </c>
      <c r="H9" s="137" t="s">
        <v>187</v>
      </c>
      <c r="I9" s="29">
        <v>10</v>
      </c>
      <c r="J9" s="18">
        <v>10</v>
      </c>
      <c r="K9" s="23" t="s">
        <v>188</v>
      </c>
    </row>
    <row r="10" ht="156.75" customHeight="1" spans="1:11">
      <c r="A10" s="20"/>
      <c r="B10" s="41" t="s">
        <v>69</v>
      </c>
      <c r="C10" s="42" t="s">
        <v>70</v>
      </c>
      <c r="D10" s="42" t="s">
        <v>71</v>
      </c>
      <c r="E10" s="43" t="s">
        <v>57</v>
      </c>
      <c r="F10" s="44" t="s">
        <v>72</v>
      </c>
      <c r="G10" s="16">
        <v>20</v>
      </c>
      <c r="H10" s="13" t="s">
        <v>189</v>
      </c>
      <c r="I10" s="18">
        <v>20</v>
      </c>
      <c r="J10" s="18">
        <v>20</v>
      </c>
      <c r="K10" t="s">
        <v>190</v>
      </c>
    </row>
    <row r="11" ht="93" customHeight="1" spans="1:11">
      <c r="A11" s="20"/>
      <c r="B11" s="26" t="s">
        <v>73</v>
      </c>
      <c r="C11" s="46" t="s">
        <v>74</v>
      </c>
      <c r="D11" s="47" t="s">
        <v>75</v>
      </c>
      <c r="E11" s="15" t="s">
        <v>76</v>
      </c>
      <c r="F11" s="48" t="s">
        <v>77</v>
      </c>
      <c r="G11" s="16">
        <v>10</v>
      </c>
      <c r="H11" s="13" t="s">
        <v>189</v>
      </c>
      <c r="I11" s="18">
        <v>10</v>
      </c>
      <c r="J11" s="18">
        <v>10</v>
      </c>
    </row>
    <row r="12" ht="76.5" customHeight="1" spans="1:11">
      <c r="A12" s="20"/>
      <c r="B12" s="21"/>
      <c r="C12" s="49" t="s">
        <v>79</v>
      </c>
      <c r="D12" s="50" t="s">
        <v>80</v>
      </c>
      <c r="E12" s="30" t="s">
        <v>81</v>
      </c>
      <c r="F12" s="51" t="s">
        <v>82</v>
      </c>
      <c r="G12" s="16">
        <v>10</v>
      </c>
      <c r="H12" s="13" t="s">
        <v>191</v>
      </c>
      <c r="I12" s="18">
        <v>8</v>
      </c>
      <c r="J12" s="18">
        <v>8</v>
      </c>
    </row>
    <row r="13" ht="76.5" customHeight="1" spans="1:11">
      <c r="A13" s="21"/>
      <c r="B13" s="52" t="s">
        <v>84</v>
      </c>
      <c r="C13" s="53" t="s">
        <v>85</v>
      </c>
      <c r="D13" s="54"/>
      <c r="E13" s="55"/>
      <c r="F13" s="56"/>
      <c r="G13" s="57"/>
      <c r="H13" s="13"/>
      <c r="I13" s="18"/>
      <c r="J13" s="18"/>
    </row>
    <row r="14" ht="39" customHeight="1" spans="1:11">
      <c r="A14" s="58" t="s">
        <v>87</v>
      </c>
      <c r="B14" s="59" t="s">
        <v>87</v>
      </c>
      <c r="C14" s="59" t="s">
        <v>88</v>
      </c>
      <c r="D14" s="3"/>
      <c r="E14" s="3"/>
      <c r="F14" s="4"/>
      <c r="G14" s="16"/>
      <c r="H14" s="13"/>
      <c r="I14" s="18"/>
      <c r="J14" s="18"/>
    </row>
    <row r="15" ht="28" customHeight="1" spans="1:11">
      <c r="A15" s="5" t="s">
        <v>89</v>
      </c>
      <c r="B15" s="3"/>
      <c r="C15" s="3"/>
      <c r="D15" s="3"/>
      <c r="E15" s="3"/>
      <c r="F15" s="3"/>
      <c r="G15" s="3"/>
      <c r="H15" s="3"/>
      <c r="I15" s="3"/>
      <c r="J15" s="4"/>
    </row>
    <row r="16" ht="36" customHeight="1" spans="1:11">
      <c r="A16" s="7" t="s">
        <v>43</v>
      </c>
      <c r="B16" s="7" t="s">
        <v>44</v>
      </c>
      <c r="C16" s="8" t="s">
        <v>45</v>
      </c>
      <c r="D16" s="8" t="s">
        <v>46</v>
      </c>
      <c r="E16" s="8" t="s">
        <v>47</v>
      </c>
      <c r="F16" s="9" t="s">
        <v>50</v>
      </c>
      <c r="G16" s="3"/>
      <c r="H16" s="4"/>
      <c r="I16" s="9" t="s">
        <v>51</v>
      </c>
      <c r="J16" s="9" t="s">
        <v>52</v>
      </c>
    </row>
    <row r="17" ht="18" customHeight="1" spans="1:10">
      <c r="A17" s="61" t="s">
        <v>90</v>
      </c>
      <c r="B17" s="62" t="s">
        <v>91</v>
      </c>
      <c r="C17" s="63" t="s">
        <v>92</v>
      </c>
      <c r="D17" s="4"/>
      <c r="E17" s="64" t="s">
        <v>93</v>
      </c>
      <c r="F17" s="8"/>
      <c r="G17" s="3"/>
      <c r="H17" s="4"/>
      <c r="I17" s="65"/>
      <c r="J17" s="65"/>
    </row>
    <row r="18" ht="29.25" customHeight="1" spans="1:10">
      <c r="A18" s="66"/>
      <c r="B18" s="3"/>
      <c r="C18" s="3"/>
      <c r="D18" s="3"/>
      <c r="E18" s="3"/>
      <c r="F18" s="3"/>
      <c r="G18" s="3"/>
      <c r="H18" s="4"/>
      <c r="I18" s="67">
        <f>SUM(I5:I12)+I17</f>
        <v>98</v>
      </c>
      <c r="J18" s="67">
        <f>SUM(J5:J14)+J17</f>
        <v>98</v>
      </c>
    </row>
    <row r="19" ht="35" customHeight="1" spans="1:10">
      <c r="A19" s="68" t="s">
        <v>94</v>
      </c>
      <c r="B19" s="68" t="s">
        <v>95</v>
      </c>
      <c r="C19" s="68"/>
      <c r="D19" s="68" t="s">
        <v>96</v>
      </c>
      <c r="E19" s="69"/>
      <c r="F19" s="3"/>
      <c r="G19" s="4"/>
      <c r="H19" s="68" t="s">
        <v>97</v>
      </c>
      <c r="I19" s="68"/>
      <c r="J19" s="4"/>
    </row>
    <row r="20" ht="35" customHeight="1" spans="1:10">
      <c r="A20" s="68" t="s">
        <v>98</v>
      </c>
      <c r="B20" s="68" t="s">
        <v>95</v>
      </c>
      <c r="C20" s="68"/>
      <c r="D20" s="68" t="s">
        <v>96</v>
      </c>
      <c r="E20" s="9"/>
      <c r="F20" s="3"/>
      <c r="G20" s="4"/>
      <c r="H20" s="68" t="s">
        <v>97</v>
      </c>
      <c r="I20" s="68"/>
      <c r="J20" s="4"/>
    </row>
    <row r="21" ht="68" customHeight="1" spans="1:10">
      <c r="A21" s="71" t="s">
        <v>99</v>
      </c>
      <c r="B21" s="3"/>
      <c r="C21" s="3"/>
      <c r="D21" s="3"/>
      <c r="E21" s="3"/>
      <c r="F21" s="3"/>
      <c r="G21" s="3"/>
      <c r="H21" s="3"/>
      <c r="I21" s="3"/>
      <c r="J21" s="4"/>
    </row>
    <row r="22" ht="68" customHeight="1" spans="1:10">
      <c r="H22" s="80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47" zoomScaleNormal="47" workbookViewId="0">
      <selection activeCell="A1" sqref="A1:J1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36</v>
      </c>
      <c r="B2" s="5" t="s">
        <v>23</v>
      </c>
      <c r="C2" s="5" t="s">
        <v>100</v>
      </c>
      <c r="D2" s="5" t="s">
        <v>39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ht="30" customHeight="1" spans="1:11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</row>
    <row r="5" ht="68" customHeight="1" spans="1:11">
      <c r="A5" s="10" t="s">
        <v>53</v>
      </c>
      <c r="B5" s="77" t="s">
        <v>54</v>
      </c>
      <c r="C5" s="78" t="s">
        <v>192</v>
      </c>
      <c r="D5" s="79" t="s">
        <v>193</v>
      </c>
      <c r="E5" s="29" t="s">
        <v>57</v>
      </c>
      <c r="F5" s="48" t="s">
        <v>58</v>
      </c>
      <c r="G5" s="16">
        <v>5</v>
      </c>
      <c r="H5" s="17" t="s">
        <v>193</v>
      </c>
      <c r="I5" s="29">
        <v>5</v>
      </c>
      <c r="J5" s="29">
        <v>5</v>
      </c>
      <c r="K5" s="19"/>
    </row>
    <row r="6" ht="72.75" customHeight="1" spans="1:11">
      <c r="A6" s="20"/>
      <c r="C6" s="78" t="s">
        <v>194</v>
      </c>
      <c r="D6" s="79" t="s">
        <v>193</v>
      </c>
      <c r="E6" s="29" t="s">
        <v>57</v>
      </c>
      <c r="F6" s="20"/>
      <c r="G6" s="16">
        <v>10</v>
      </c>
      <c r="H6" s="17" t="s">
        <v>193</v>
      </c>
      <c r="I6" s="29">
        <v>9</v>
      </c>
      <c r="J6" s="29">
        <v>9</v>
      </c>
      <c r="K6" s="23"/>
    </row>
    <row r="7" ht="74.25" customHeight="1" spans="1:11">
      <c r="A7" s="20"/>
      <c r="C7" s="50" t="s">
        <v>195</v>
      </c>
      <c r="D7" s="79" t="s">
        <v>196</v>
      </c>
      <c r="E7" s="13"/>
      <c r="F7" s="20"/>
      <c r="G7" s="16">
        <v>5</v>
      </c>
      <c r="H7" s="17" t="s">
        <v>196</v>
      </c>
      <c r="I7" s="29">
        <v>5</v>
      </c>
      <c r="J7" s="29">
        <v>5</v>
      </c>
      <c r="K7" s="23"/>
    </row>
    <row r="8" ht="74.25" customHeight="1" spans="1:11">
      <c r="A8" s="20"/>
      <c r="C8" s="50" t="s">
        <v>197</v>
      </c>
      <c r="D8" s="79" t="s">
        <v>193</v>
      </c>
      <c r="E8" s="13"/>
      <c r="F8" s="20"/>
      <c r="G8" s="16">
        <v>10</v>
      </c>
      <c r="H8" s="17" t="s">
        <v>193</v>
      </c>
      <c r="I8" s="29">
        <v>9</v>
      </c>
      <c r="J8" s="29">
        <v>9</v>
      </c>
      <c r="K8" s="23"/>
    </row>
    <row r="9" ht="74.25" customHeight="1" spans="1:11">
      <c r="A9" s="20"/>
      <c r="B9" s="30" t="s">
        <v>60</v>
      </c>
      <c r="C9" s="50" t="s">
        <v>198</v>
      </c>
      <c r="D9" s="79" t="s">
        <v>199</v>
      </c>
      <c r="E9" s="13" t="s">
        <v>57</v>
      </c>
      <c r="F9" s="20"/>
      <c r="G9" s="16">
        <v>20</v>
      </c>
      <c r="H9" s="17" t="s">
        <v>200</v>
      </c>
      <c r="I9" s="29">
        <v>20</v>
      </c>
      <c r="J9" s="29">
        <v>20</v>
      </c>
      <c r="K9" s="23" t="s">
        <v>201</v>
      </c>
    </row>
    <row r="10" ht="117" customHeight="1" spans="1:11">
      <c r="A10" s="9" t="s">
        <v>64</v>
      </c>
      <c r="B10" s="41" t="s">
        <v>65</v>
      </c>
      <c r="C10" s="42" t="s">
        <v>66</v>
      </c>
      <c r="D10" s="42" t="s">
        <v>67</v>
      </c>
      <c r="E10" s="43" t="s">
        <v>57</v>
      </c>
      <c r="F10" s="44" t="s">
        <v>68</v>
      </c>
      <c r="G10" s="16">
        <v>10</v>
      </c>
      <c r="H10" s="17" t="s">
        <v>202</v>
      </c>
      <c r="I10" s="29">
        <v>9</v>
      </c>
      <c r="J10" s="29">
        <v>9</v>
      </c>
      <c r="K10" s="23" t="s">
        <v>203</v>
      </c>
    </row>
    <row r="11" ht="156.75" customHeight="1" spans="1:11">
      <c r="A11" s="20"/>
      <c r="B11" s="41" t="s">
        <v>69</v>
      </c>
      <c r="C11" s="42" t="s">
        <v>70</v>
      </c>
      <c r="D11" s="42" t="s">
        <v>71</v>
      </c>
      <c r="E11" s="43" t="s">
        <v>57</v>
      </c>
      <c r="F11" s="44" t="s">
        <v>72</v>
      </c>
      <c r="G11" s="16">
        <v>20</v>
      </c>
      <c r="H11" s="17" t="s">
        <v>204</v>
      </c>
      <c r="I11" s="29">
        <v>18</v>
      </c>
      <c r="J11" s="29">
        <v>18</v>
      </c>
    </row>
    <row r="12" ht="93" customHeight="1" spans="1:11">
      <c r="A12" s="20"/>
      <c r="B12" s="26" t="s">
        <v>73</v>
      </c>
      <c r="C12" s="46" t="s">
        <v>74</v>
      </c>
      <c r="D12" s="47" t="s">
        <v>75</v>
      </c>
      <c r="E12" s="15" t="s">
        <v>76</v>
      </c>
      <c r="F12" s="48" t="s">
        <v>77</v>
      </c>
      <c r="G12" s="16">
        <v>10</v>
      </c>
      <c r="H12" s="17"/>
      <c r="I12" s="29">
        <v>9</v>
      </c>
      <c r="J12" s="29">
        <v>9</v>
      </c>
    </row>
    <row r="13" ht="76.5" customHeight="1" spans="1:11">
      <c r="A13" s="20"/>
      <c r="B13" s="21"/>
      <c r="C13" s="49" t="s">
        <v>79</v>
      </c>
      <c r="D13" s="50" t="s">
        <v>80</v>
      </c>
      <c r="E13" s="30" t="s">
        <v>81</v>
      </c>
      <c r="F13" s="51" t="s">
        <v>82</v>
      </c>
      <c r="G13" s="16">
        <v>10</v>
      </c>
      <c r="H13" s="17"/>
      <c r="I13" s="29">
        <v>9</v>
      </c>
      <c r="J13" s="29">
        <v>9</v>
      </c>
    </row>
    <row r="14" ht="76.5" customHeight="1" spans="1:11">
      <c r="A14" s="21"/>
      <c r="B14" s="52" t="s">
        <v>84</v>
      </c>
      <c r="C14" s="53" t="s">
        <v>85</v>
      </c>
      <c r="D14" s="54"/>
      <c r="E14" s="55"/>
      <c r="F14" s="56"/>
      <c r="G14" s="57"/>
      <c r="H14" s="13"/>
      <c r="I14" s="18"/>
      <c r="J14" s="18"/>
    </row>
    <row r="15" ht="39" customHeight="1" spans="1:11">
      <c r="A15" s="58" t="s">
        <v>87</v>
      </c>
      <c r="B15" s="59" t="s">
        <v>87</v>
      </c>
      <c r="C15" s="59" t="s">
        <v>88</v>
      </c>
      <c r="D15" s="3"/>
      <c r="E15" s="3"/>
      <c r="F15" s="4"/>
      <c r="G15" s="16"/>
      <c r="H15" s="13"/>
      <c r="I15" s="18"/>
      <c r="J15" s="18"/>
    </row>
    <row r="16" ht="28" customHeight="1" spans="1:11">
      <c r="A16" s="5" t="s">
        <v>89</v>
      </c>
      <c r="B16" s="3"/>
      <c r="C16" s="3"/>
      <c r="D16" s="3"/>
      <c r="E16" s="3"/>
      <c r="F16" s="3"/>
      <c r="G16" s="3"/>
      <c r="H16" s="3"/>
      <c r="I16" s="3"/>
      <c r="J16" s="4"/>
    </row>
    <row r="17" ht="36" customHeight="1" spans="1:10">
      <c r="A17" s="7" t="s">
        <v>43</v>
      </c>
      <c r="B17" s="7" t="s">
        <v>44</v>
      </c>
      <c r="C17" s="8" t="s">
        <v>45</v>
      </c>
      <c r="D17" s="8" t="s">
        <v>46</v>
      </c>
      <c r="E17" s="8" t="s">
        <v>47</v>
      </c>
      <c r="F17" s="9" t="s">
        <v>50</v>
      </c>
      <c r="G17" s="3"/>
      <c r="H17" s="4"/>
      <c r="I17" s="9" t="s">
        <v>51</v>
      </c>
      <c r="J17" s="9" t="s">
        <v>52</v>
      </c>
    </row>
    <row r="18" ht="18" customHeight="1" spans="1:10">
      <c r="A18" s="61" t="s">
        <v>90</v>
      </c>
      <c r="B18" s="62" t="s">
        <v>91</v>
      </c>
      <c r="C18" s="63" t="s">
        <v>92</v>
      </c>
      <c r="D18" s="4"/>
      <c r="E18" s="64" t="s">
        <v>93</v>
      </c>
      <c r="F18" s="8"/>
      <c r="G18" s="3"/>
      <c r="H18" s="4"/>
      <c r="I18" s="65"/>
      <c r="J18" s="65"/>
    </row>
    <row r="19" ht="29.25" customHeight="1" spans="1:10">
      <c r="A19" s="66"/>
      <c r="B19" s="3"/>
      <c r="C19" s="3"/>
      <c r="D19" s="3"/>
      <c r="E19" s="3"/>
      <c r="F19" s="3"/>
      <c r="G19" s="3"/>
      <c r="H19" s="4"/>
      <c r="I19" s="67">
        <f>SUM(I5:I18)</f>
        <v>93</v>
      </c>
      <c r="J19" s="67">
        <f>SUM(J5:J15)+J18</f>
        <v>93</v>
      </c>
    </row>
    <row r="20" ht="35" customHeight="1" spans="1:10">
      <c r="A20" s="68" t="s">
        <v>94</v>
      </c>
      <c r="B20" s="68" t="s">
        <v>95</v>
      </c>
      <c r="C20" s="68"/>
      <c r="D20" s="68" t="s">
        <v>96</v>
      </c>
      <c r="E20" s="69"/>
      <c r="F20" s="3"/>
      <c r="G20" s="4"/>
      <c r="H20" s="68" t="s">
        <v>97</v>
      </c>
      <c r="I20" s="68"/>
      <c r="J20" s="4"/>
    </row>
    <row r="21" ht="35" customHeight="1" spans="1:10">
      <c r="A21" s="68" t="s">
        <v>98</v>
      </c>
      <c r="B21" s="68" t="s">
        <v>95</v>
      </c>
      <c r="C21" s="68"/>
      <c r="D21" s="68" t="s">
        <v>96</v>
      </c>
      <c r="E21" s="9"/>
      <c r="F21" s="3"/>
      <c r="G21" s="4"/>
      <c r="H21" s="68" t="s">
        <v>97</v>
      </c>
      <c r="I21" s="68"/>
      <c r="J21" s="4"/>
    </row>
    <row r="22" ht="68" customHeight="1" spans="1:10">
      <c r="A22" s="71" t="s">
        <v>99</v>
      </c>
      <c r="B22" s="3"/>
      <c r="C22" s="3"/>
      <c r="D22" s="3"/>
      <c r="E22" s="3"/>
      <c r="F22" s="3"/>
      <c r="G22" s="3"/>
      <c r="H22" s="3"/>
      <c r="I22" s="3"/>
      <c r="J22" s="4"/>
    </row>
    <row r="23" ht="68" customHeight="1" spans="1:10">
      <c r="H23" s="80"/>
    </row>
  </sheetData>
  <mergeCells count="19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  <mergeCell ref="F5:F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54" zoomScaleNormal="54" topLeftCell="B1" workbookViewId="0">
      <selection activeCell="I5" sqref="I5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36</v>
      </c>
      <c r="B2" s="5" t="s">
        <v>24</v>
      </c>
      <c r="C2" s="5" t="s">
        <v>100</v>
      </c>
      <c r="D2" s="5" t="s">
        <v>39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ht="30" customHeight="1" spans="1:11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</row>
    <row r="5" ht="68" customHeight="1" spans="1:11">
      <c r="A5" s="10" t="s">
        <v>53</v>
      </c>
      <c r="B5" s="77" t="s">
        <v>54</v>
      </c>
      <c r="C5" s="78" t="s">
        <v>205</v>
      </c>
      <c r="D5" s="79" t="s">
        <v>206</v>
      </c>
      <c r="E5" s="29" t="s">
        <v>57</v>
      </c>
      <c r="F5" s="48" t="s">
        <v>58</v>
      </c>
      <c r="G5" s="16">
        <v>10</v>
      </c>
      <c r="H5" s="17" t="s">
        <v>207</v>
      </c>
      <c r="I5" s="29">
        <v>10</v>
      </c>
      <c r="J5" s="29">
        <v>10</v>
      </c>
      <c r="K5" s="19"/>
    </row>
    <row r="6" ht="72.75" customHeight="1" spans="1:11">
      <c r="A6" s="20"/>
      <c r="C6" s="78" t="s">
        <v>208</v>
      </c>
      <c r="D6" s="79" t="s">
        <v>206</v>
      </c>
      <c r="E6" s="29" t="s">
        <v>57</v>
      </c>
      <c r="F6" s="20"/>
      <c r="G6" s="16">
        <v>10</v>
      </c>
      <c r="H6" s="17" t="s">
        <v>207</v>
      </c>
      <c r="I6" s="29">
        <v>10</v>
      </c>
      <c r="J6" s="29">
        <v>10</v>
      </c>
      <c r="K6" s="23"/>
    </row>
    <row r="7" ht="74.25" customHeight="1" spans="1:11">
      <c r="A7" s="20"/>
      <c r="C7" s="50" t="s">
        <v>209</v>
      </c>
      <c r="D7" s="79" t="s">
        <v>210</v>
      </c>
      <c r="E7" s="29" t="s">
        <v>57</v>
      </c>
      <c r="F7" s="20"/>
      <c r="G7" s="16">
        <v>10</v>
      </c>
      <c r="H7" s="17" t="s">
        <v>211</v>
      </c>
      <c r="I7" s="29">
        <v>8</v>
      </c>
      <c r="J7" s="29">
        <v>8</v>
      </c>
      <c r="K7" s="23"/>
    </row>
    <row r="8" ht="74.25" customHeight="1" spans="1:11">
      <c r="A8" s="20"/>
      <c r="B8" s="30" t="s">
        <v>60</v>
      </c>
      <c r="C8" s="50" t="s">
        <v>212</v>
      </c>
      <c r="D8" s="79" t="s">
        <v>213</v>
      </c>
      <c r="E8" s="13" t="s">
        <v>57</v>
      </c>
      <c r="F8" s="20"/>
      <c r="G8" s="16">
        <v>20</v>
      </c>
      <c r="H8" s="17" t="s">
        <v>207</v>
      </c>
      <c r="I8" s="29">
        <v>18</v>
      </c>
      <c r="J8" s="29">
        <v>18</v>
      </c>
      <c r="K8" s="23"/>
    </row>
    <row r="9" ht="117" customHeight="1" spans="1:11">
      <c r="A9" s="9" t="s">
        <v>64</v>
      </c>
      <c r="B9" s="41" t="s">
        <v>65</v>
      </c>
      <c r="C9" s="42" t="s">
        <v>66</v>
      </c>
      <c r="D9" s="42" t="s">
        <v>67</v>
      </c>
      <c r="E9" s="43" t="s">
        <v>57</v>
      </c>
      <c r="F9" s="44" t="s">
        <v>68</v>
      </c>
      <c r="G9" s="16">
        <v>10</v>
      </c>
      <c r="H9" s="17"/>
      <c r="I9" s="29">
        <v>8</v>
      </c>
      <c r="J9" s="29">
        <v>8</v>
      </c>
      <c r="K9" s="23" t="s">
        <v>214</v>
      </c>
    </row>
    <row r="10" ht="156.75" customHeight="1" spans="1:11">
      <c r="A10" s="20"/>
      <c r="B10" s="41" t="s">
        <v>69</v>
      </c>
      <c r="C10" s="42" t="s">
        <v>70</v>
      </c>
      <c r="D10" s="42" t="s">
        <v>71</v>
      </c>
      <c r="E10" s="43" t="s">
        <v>57</v>
      </c>
      <c r="F10" s="44" t="s">
        <v>72</v>
      </c>
      <c r="G10" s="16">
        <v>20</v>
      </c>
      <c r="H10" s="17"/>
      <c r="I10" s="29">
        <v>18</v>
      </c>
      <c r="J10" s="29">
        <v>18</v>
      </c>
      <c r="K10" t="s">
        <v>215</v>
      </c>
    </row>
    <row r="11" ht="93" customHeight="1" spans="1:11">
      <c r="A11" s="20"/>
      <c r="B11" s="26" t="s">
        <v>73</v>
      </c>
      <c r="C11" s="46" t="s">
        <v>74</v>
      </c>
      <c r="D11" s="47" t="s">
        <v>75</v>
      </c>
      <c r="E11" s="15" t="s">
        <v>76</v>
      </c>
      <c r="F11" s="48" t="s">
        <v>77</v>
      </c>
      <c r="G11" s="16">
        <v>10</v>
      </c>
      <c r="H11" s="17"/>
      <c r="I11" s="29">
        <v>8</v>
      </c>
      <c r="J11" s="29">
        <v>8</v>
      </c>
    </row>
    <row r="12" ht="76.5" customHeight="1" spans="1:11">
      <c r="A12" s="20"/>
      <c r="B12" s="21"/>
      <c r="C12" s="49" t="s">
        <v>79</v>
      </c>
      <c r="D12" s="50" t="s">
        <v>80</v>
      </c>
      <c r="E12" s="30" t="s">
        <v>81</v>
      </c>
      <c r="F12" s="51" t="s">
        <v>82</v>
      </c>
      <c r="G12" s="16">
        <v>10</v>
      </c>
      <c r="H12" s="17"/>
      <c r="I12" s="29">
        <v>8</v>
      </c>
      <c r="J12" s="29">
        <v>8</v>
      </c>
    </row>
    <row r="13" ht="76.5" customHeight="1" spans="1:11">
      <c r="A13" s="21"/>
      <c r="B13" s="52" t="s">
        <v>84</v>
      </c>
      <c r="C13" s="53" t="s">
        <v>85</v>
      </c>
      <c r="D13" s="54"/>
      <c r="E13" s="55"/>
      <c r="F13" s="56"/>
      <c r="G13" s="57"/>
      <c r="H13" s="13"/>
      <c r="I13" s="18"/>
      <c r="J13" s="18"/>
    </row>
    <row r="14" ht="39" customHeight="1" spans="1:11">
      <c r="A14" s="58" t="s">
        <v>87</v>
      </c>
      <c r="B14" s="59" t="s">
        <v>87</v>
      </c>
      <c r="C14" s="59" t="s">
        <v>88</v>
      </c>
      <c r="D14" s="3"/>
      <c r="E14" s="3"/>
      <c r="F14" s="4"/>
      <c r="G14" s="16"/>
      <c r="H14" s="13"/>
      <c r="I14" s="18"/>
      <c r="J14" s="18"/>
    </row>
    <row r="15" ht="28" customHeight="1" spans="1:11">
      <c r="A15" s="5" t="s">
        <v>89</v>
      </c>
      <c r="B15" s="3"/>
      <c r="C15" s="3"/>
      <c r="D15" s="3"/>
      <c r="E15" s="3"/>
      <c r="F15" s="3"/>
      <c r="G15" s="3"/>
      <c r="H15" s="3"/>
      <c r="I15" s="3"/>
      <c r="J15" s="4"/>
    </row>
    <row r="16" ht="36" customHeight="1" spans="1:11">
      <c r="A16" s="7" t="s">
        <v>43</v>
      </c>
      <c r="B16" s="7" t="s">
        <v>44</v>
      </c>
      <c r="C16" s="8" t="s">
        <v>45</v>
      </c>
      <c r="D16" s="8" t="s">
        <v>46</v>
      </c>
      <c r="E16" s="8" t="s">
        <v>47</v>
      </c>
      <c r="F16" s="9" t="s">
        <v>50</v>
      </c>
      <c r="G16" s="3"/>
      <c r="H16" s="4"/>
      <c r="I16" s="9" t="s">
        <v>51</v>
      </c>
      <c r="J16" s="9" t="s">
        <v>52</v>
      </c>
    </row>
    <row r="17" ht="18" customHeight="1" spans="1:10">
      <c r="A17" s="61" t="s">
        <v>90</v>
      </c>
      <c r="B17" s="62" t="s">
        <v>91</v>
      </c>
      <c r="C17" s="63" t="s">
        <v>92</v>
      </c>
      <c r="D17" s="4"/>
      <c r="E17" s="64" t="s">
        <v>93</v>
      </c>
      <c r="F17" s="8"/>
      <c r="G17" s="3"/>
      <c r="H17" s="4"/>
      <c r="I17" s="65"/>
      <c r="J17" s="65"/>
    </row>
    <row r="18" ht="29.25" customHeight="1" spans="1:10">
      <c r="A18" s="66"/>
      <c r="B18" s="3"/>
      <c r="C18" s="3"/>
      <c r="D18" s="3"/>
      <c r="E18" s="3"/>
      <c r="F18" s="3"/>
      <c r="G18" s="3"/>
      <c r="H18" s="4"/>
      <c r="I18" s="67">
        <f>SUM(I5:I14)+I17</f>
        <v>88</v>
      </c>
      <c r="J18" s="67">
        <f>SUM(J5:J14)+J17</f>
        <v>88</v>
      </c>
    </row>
    <row r="19" ht="35" customHeight="1" spans="1:10">
      <c r="A19" s="68" t="s">
        <v>94</v>
      </c>
      <c r="B19" s="68" t="s">
        <v>95</v>
      </c>
      <c r="C19" s="68"/>
      <c r="D19" s="68" t="s">
        <v>96</v>
      </c>
      <c r="E19" s="69"/>
      <c r="F19" s="3"/>
      <c r="G19" s="4"/>
      <c r="H19" s="68" t="s">
        <v>97</v>
      </c>
      <c r="I19" s="68"/>
      <c r="J19" s="4"/>
    </row>
    <row r="20" ht="35" customHeight="1" spans="1:10">
      <c r="A20" s="68" t="s">
        <v>98</v>
      </c>
      <c r="B20" s="68" t="s">
        <v>95</v>
      </c>
      <c r="C20" s="68"/>
      <c r="D20" s="68" t="s">
        <v>96</v>
      </c>
      <c r="E20" s="9"/>
      <c r="F20" s="3"/>
      <c r="G20" s="4"/>
      <c r="H20" s="68" t="s">
        <v>97</v>
      </c>
      <c r="I20" s="68"/>
      <c r="J20" s="4"/>
    </row>
    <row r="21" ht="68" customHeight="1" spans="1:10">
      <c r="A21" s="71" t="s">
        <v>99</v>
      </c>
      <c r="B21" s="3"/>
      <c r="C21" s="3"/>
      <c r="D21" s="3"/>
      <c r="E21" s="3"/>
      <c r="F21" s="3"/>
      <c r="G21" s="3"/>
      <c r="H21" s="3"/>
      <c r="I21" s="3"/>
      <c r="J21" s="4"/>
    </row>
    <row r="22" ht="68" customHeight="1" spans="1:10">
      <c r="H22" s="80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56" zoomScaleNormal="56" topLeftCell="C1" workbookViewId="0">
      <selection activeCell="H11" sqref="H11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36</v>
      </c>
      <c r="B2" s="5" t="s">
        <v>25</v>
      </c>
      <c r="C2" s="5" t="s">
        <v>100</v>
      </c>
      <c r="D2" s="5" t="s">
        <v>39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ht="30" customHeight="1" spans="1:11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</row>
    <row r="5" ht="68" customHeight="1" spans="1:11">
      <c r="A5" s="10" t="s">
        <v>53</v>
      </c>
      <c r="B5" s="133" t="s">
        <v>54</v>
      </c>
      <c r="C5" s="49" t="s">
        <v>216</v>
      </c>
      <c r="D5" s="79" t="s">
        <v>206</v>
      </c>
      <c r="E5" s="29" t="s">
        <v>57</v>
      </c>
      <c r="F5" s="48" t="s">
        <v>58</v>
      </c>
      <c r="G5" s="16">
        <v>10</v>
      </c>
      <c r="H5" s="17" t="s">
        <v>217</v>
      </c>
      <c r="I5" s="29">
        <v>10</v>
      </c>
      <c r="J5" s="29">
        <v>10</v>
      </c>
      <c r="K5" s="19"/>
    </row>
    <row r="6" ht="72.75" customHeight="1" spans="1:11">
      <c r="A6" s="20"/>
      <c r="B6" s="20"/>
      <c r="C6" s="134" t="s">
        <v>218</v>
      </c>
      <c r="D6" s="79" t="s">
        <v>219</v>
      </c>
      <c r="E6" s="29" t="s">
        <v>57</v>
      </c>
      <c r="F6" s="20"/>
      <c r="G6" s="16">
        <v>10</v>
      </c>
      <c r="H6" s="17" t="s">
        <v>220</v>
      </c>
      <c r="I6" s="29">
        <v>9</v>
      </c>
      <c r="J6" s="29">
        <v>9</v>
      </c>
      <c r="K6" s="23"/>
    </row>
    <row r="7" ht="74.25" customHeight="1" spans="1:11">
      <c r="A7" s="20"/>
      <c r="B7" s="20"/>
      <c r="C7" s="49" t="s">
        <v>221</v>
      </c>
      <c r="D7" s="79" t="s">
        <v>206</v>
      </c>
      <c r="E7" s="29" t="s">
        <v>57</v>
      </c>
      <c r="F7" s="20"/>
      <c r="G7" s="16">
        <v>10</v>
      </c>
      <c r="H7" s="17" t="s">
        <v>117</v>
      </c>
      <c r="I7" s="29">
        <v>9</v>
      </c>
      <c r="J7" s="29">
        <v>9</v>
      </c>
      <c r="K7" s="23"/>
    </row>
    <row r="8" ht="74.25" customHeight="1" spans="1:11">
      <c r="A8" s="20"/>
      <c r="B8" s="30" t="s">
        <v>60</v>
      </c>
      <c r="C8" s="49" t="s">
        <v>222</v>
      </c>
      <c r="D8" s="79" t="s">
        <v>223</v>
      </c>
      <c r="E8" s="13" t="s">
        <v>57</v>
      </c>
      <c r="F8" s="20"/>
      <c r="G8" s="16">
        <v>20</v>
      </c>
      <c r="H8" s="17" t="s">
        <v>224</v>
      </c>
      <c r="I8" s="29">
        <v>19</v>
      </c>
      <c r="J8" s="29">
        <v>19</v>
      </c>
      <c r="K8" s="23"/>
    </row>
    <row r="9" ht="117" customHeight="1" spans="1:11">
      <c r="A9" s="9" t="s">
        <v>64</v>
      </c>
      <c r="B9" s="41" t="s">
        <v>65</v>
      </c>
      <c r="C9" s="134" t="s">
        <v>66</v>
      </c>
      <c r="D9" s="42" t="s">
        <v>67</v>
      </c>
      <c r="E9" s="43" t="s">
        <v>57</v>
      </c>
      <c r="F9" s="44" t="s">
        <v>68</v>
      </c>
      <c r="G9" s="16">
        <v>10</v>
      </c>
      <c r="H9" s="17"/>
      <c r="I9" s="29">
        <v>9</v>
      </c>
      <c r="J9" s="29">
        <v>9</v>
      </c>
      <c r="K9" s="23" t="s">
        <v>225</v>
      </c>
    </row>
    <row r="10" ht="156.75" customHeight="1" spans="1:11">
      <c r="A10" s="20"/>
      <c r="B10" s="41" t="s">
        <v>69</v>
      </c>
      <c r="C10" s="42" t="s">
        <v>70</v>
      </c>
      <c r="D10" s="42" t="s">
        <v>71</v>
      </c>
      <c r="E10" s="43" t="s">
        <v>57</v>
      </c>
      <c r="F10" s="44" t="s">
        <v>72</v>
      </c>
      <c r="G10" s="16">
        <v>20</v>
      </c>
      <c r="H10" s="17"/>
      <c r="I10" s="29">
        <v>19</v>
      </c>
      <c r="J10" s="29">
        <v>19</v>
      </c>
      <c r="K10" t="s">
        <v>226</v>
      </c>
    </row>
    <row r="11" ht="93" customHeight="1" spans="1:11">
      <c r="A11" s="20"/>
      <c r="B11" s="26" t="s">
        <v>73</v>
      </c>
      <c r="C11" s="46" t="s">
        <v>74</v>
      </c>
      <c r="D11" s="47" t="s">
        <v>75</v>
      </c>
      <c r="E11" s="15" t="s">
        <v>76</v>
      </c>
      <c r="F11" s="48" t="s">
        <v>77</v>
      </c>
      <c r="G11" s="16">
        <v>10</v>
      </c>
      <c r="H11" s="17"/>
      <c r="I11" s="29">
        <v>9</v>
      </c>
      <c r="J11" s="29">
        <v>9</v>
      </c>
    </row>
    <row r="12" ht="76.5" customHeight="1" spans="1:11">
      <c r="A12" s="20"/>
      <c r="B12" s="21"/>
      <c r="C12" s="49" t="s">
        <v>79</v>
      </c>
      <c r="D12" s="50" t="s">
        <v>80</v>
      </c>
      <c r="E12" s="30" t="s">
        <v>81</v>
      </c>
      <c r="F12" s="51" t="s">
        <v>82</v>
      </c>
      <c r="G12" s="16">
        <v>10</v>
      </c>
      <c r="H12" s="17"/>
      <c r="I12" s="29">
        <v>9</v>
      </c>
      <c r="J12" s="29">
        <v>9</v>
      </c>
    </row>
    <row r="13" ht="76.5" customHeight="1" spans="1:11">
      <c r="A13" s="21"/>
      <c r="B13" s="52" t="s">
        <v>84</v>
      </c>
      <c r="C13" s="53" t="s">
        <v>85</v>
      </c>
      <c r="D13" s="54"/>
      <c r="E13" s="55"/>
      <c r="F13" s="56"/>
      <c r="G13" s="57"/>
      <c r="H13" s="13"/>
      <c r="I13" s="18"/>
      <c r="J13" s="18"/>
    </row>
    <row r="14" ht="39" customHeight="1" spans="1:11">
      <c r="A14" s="58" t="s">
        <v>87</v>
      </c>
      <c r="B14" s="59" t="s">
        <v>87</v>
      </c>
      <c r="C14" s="59" t="s">
        <v>88</v>
      </c>
      <c r="D14" s="3"/>
      <c r="E14" s="3"/>
      <c r="F14" s="4"/>
      <c r="G14" s="16"/>
      <c r="H14" s="13"/>
      <c r="I14" s="18"/>
      <c r="J14" s="18"/>
    </row>
    <row r="15" ht="28" customHeight="1" spans="1:11">
      <c r="A15" s="5" t="s">
        <v>89</v>
      </c>
      <c r="B15" s="3"/>
      <c r="C15" s="3"/>
      <c r="D15" s="3"/>
      <c r="E15" s="3"/>
      <c r="F15" s="3"/>
      <c r="G15" s="3"/>
      <c r="H15" s="3"/>
      <c r="I15" s="3"/>
      <c r="J15" s="4"/>
    </row>
    <row r="16" ht="36" customHeight="1" spans="1:11">
      <c r="A16" s="7" t="s">
        <v>43</v>
      </c>
      <c r="B16" s="7" t="s">
        <v>44</v>
      </c>
      <c r="C16" s="8" t="s">
        <v>45</v>
      </c>
      <c r="D16" s="8" t="s">
        <v>46</v>
      </c>
      <c r="E16" s="8" t="s">
        <v>47</v>
      </c>
      <c r="F16" s="9" t="s">
        <v>50</v>
      </c>
      <c r="G16" s="3"/>
      <c r="H16" s="4"/>
      <c r="I16" s="9" t="s">
        <v>51</v>
      </c>
      <c r="J16" s="9" t="s">
        <v>52</v>
      </c>
    </row>
    <row r="17" ht="18" customHeight="1" spans="1:10">
      <c r="A17" s="61" t="s">
        <v>90</v>
      </c>
      <c r="B17" s="62" t="s">
        <v>91</v>
      </c>
      <c r="C17" s="63" t="s">
        <v>92</v>
      </c>
      <c r="D17" s="4"/>
      <c r="E17" s="64" t="s">
        <v>93</v>
      </c>
      <c r="F17" s="8"/>
      <c r="G17" s="3"/>
      <c r="H17" s="4"/>
      <c r="I17" s="65"/>
      <c r="J17" s="65"/>
    </row>
    <row r="18" ht="29.25" customHeight="1" spans="1:10">
      <c r="A18" s="66"/>
      <c r="B18" s="3"/>
      <c r="C18" s="3"/>
      <c r="D18" s="3"/>
      <c r="E18" s="3"/>
      <c r="F18" s="3"/>
      <c r="G18" s="3"/>
      <c r="H18" s="4"/>
      <c r="I18" s="67">
        <f>SUM(I5:I17)</f>
        <v>93</v>
      </c>
      <c r="J18" s="67">
        <f>SUM(J5:J14)+J17</f>
        <v>93</v>
      </c>
    </row>
    <row r="19" ht="35" customHeight="1" spans="1:10">
      <c r="A19" s="68" t="s">
        <v>94</v>
      </c>
      <c r="B19" s="68" t="s">
        <v>95</v>
      </c>
      <c r="C19" s="68"/>
      <c r="D19" s="68" t="s">
        <v>96</v>
      </c>
      <c r="E19" s="69"/>
      <c r="F19" s="3"/>
      <c r="G19" s="4"/>
      <c r="H19" s="68" t="s">
        <v>97</v>
      </c>
      <c r="I19" s="68"/>
      <c r="J19" s="4"/>
    </row>
    <row r="20" ht="35" customHeight="1" spans="1:10">
      <c r="A20" s="68" t="s">
        <v>98</v>
      </c>
      <c r="B20" s="68" t="s">
        <v>95</v>
      </c>
      <c r="C20" s="68"/>
      <c r="D20" s="68" t="s">
        <v>96</v>
      </c>
      <c r="E20" s="9"/>
      <c r="F20" s="3"/>
      <c r="G20" s="4"/>
      <c r="H20" s="68" t="s">
        <v>97</v>
      </c>
      <c r="I20" s="68"/>
      <c r="J20" s="4"/>
    </row>
    <row r="21" ht="68" customHeight="1" spans="1:10">
      <c r="A21" s="71" t="s">
        <v>99</v>
      </c>
      <c r="B21" s="3"/>
      <c r="C21" s="3"/>
      <c r="D21" s="3"/>
      <c r="E21" s="3"/>
      <c r="F21" s="3"/>
      <c r="G21" s="3"/>
      <c r="H21" s="3"/>
      <c r="I21" s="3"/>
      <c r="J21" s="4"/>
    </row>
    <row r="22" ht="68" customHeight="1" spans="1:10">
      <c r="H22" s="80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2"/>
  <sheetViews>
    <sheetView zoomScale="68" zoomScaleNormal="68" topLeftCell="B1" workbookViewId="0">
      <selection activeCell="I15" sqref="I15"/>
    </sheetView>
  </sheetViews>
  <sheetFormatPr defaultColWidth="9.65178571428571" defaultRowHeight="15.2"/>
  <cols>
    <col min="1" max="1" width="8.16964285714286" style="81" customWidth="1"/>
    <col min="2" max="2" width="19.125" style="81" customWidth="1"/>
    <col min="3" max="3" width="15.2232142857143" style="81" customWidth="1"/>
    <col min="4" max="4" width="29.1517857142857" style="81" customWidth="1"/>
    <col min="5" max="5" width="56.2410714285714" style="81" customWidth="1"/>
    <col min="6" max="6" width="34.3571428571429" style="81" customWidth="1"/>
    <col min="7" max="7" width="49.9553571428571" style="81" customWidth="1"/>
    <col min="8" max="8" width="10.0267857142857" style="81" customWidth="1"/>
    <col min="9" max="9" width="32.3125" style="81" customWidth="1"/>
    <col min="10" max="10" width="20.7946428571429" style="81" customWidth="1"/>
    <col min="11" max="11" width="27.6696428571429" style="81" customWidth="1"/>
    <col min="12" max="12" width="35.0982142857143" style="81" customWidth="1"/>
    <col min="13" max="26" width="12.8125" style="81" customWidth="1"/>
    <col min="27" max="16384" width="9.65178571428571" style="81"/>
  </cols>
  <sheetData>
    <row r="1" s="81" customFormat="1" ht="25.5" customHeight="1" spans="1:27">
      <c r="A1" s="82"/>
      <c r="B1" s="83" t="s">
        <v>110</v>
      </c>
      <c r="C1" s="83"/>
      <c r="D1" s="83"/>
      <c r="E1" s="83"/>
      <c r="F1" s="83"/>
      <c r="G1" s="83"/>
      <c r="H1" s="83"/>
      <c r="I1" s="83"/>
      <c r="J1" s="83"/>
      <c r="K1" s="83"/>
      <c r="L1" s="82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="81" customFormat="1" ht="23.25" customHeight="1" spans="1:27">
      <c r="A2" s="82"/>
      <c r="B2" s="85" t="s">
        <v>36</v>
      </c>
      <c r="C2" s="85" t="s">
        <v>227</v>
      </c>
      <c r="D2" s="85" t="s">
        <v>100</v>
      </c>
      <c r="E2" s="86" t="s">
        <v>111</v>
      </c>
      <c r="F2" s="86"/>
      <c r="G2" s="86"/>
      <c r="H2" s="85" t="s">
        <v>38</v>
      </c>
      <c r="I2" s="87" t="s">
        <v>12</v>
      </c>
      <c r="J2" s="85" t="s">
        <v>40</v>
      </c>
      <c r="K2" s="88" t="s">
        <v>41</v>
      </c>
      <c r="L2" s="82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="81" customFormat="1" ht="25.5" customHeight="1" spans="1:27">
      <c r="A3" s="82"/>
      <c r="B3" s="85" t="s">
        <v>42</v>
      </c>
      <c r="C3" s="85"/>
      <c r="D3" s="85"/>
      <c r="E3" s="85"/>
      <c r="F3" s="85"/>
      <c r="G3" s="85"/>
      <c r="H3" s="85"/>
      <c r="I3" s="85"/>
      <c r="J3" s="85"/>
      <c r="K3" s="85"/>
      <c r="L3" s="82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="81" customFormat="1" ht="53" spans="1:27">
      <c r="A4" s="82"/>
      <c r="B4" s="85" t="s">
        <v>43</v>
      </c>
      <c r="C4" s="85" t="s">
        <v>44</v>
      </c>
      <c r="D4" s="87" t="s">
        <v>228</v>
      </c>
      <c r="E4" s="87" t="s">
        <v>46</v>
      </c>
      <c r="F4" s="87" t="s">
        <v>47</v>
      </c>
      <c r="G4" s="87" t="s">
        <v>48</v>
      </c>
      <c r="H4" s="85" t="s">
        <v>49</v>
      </c>
      <c r="I4" s="87" t="s">
        <v>50</v>
      </c>
      <c r="J4" s="87" t="s">
        <v>51</v>
      </c>
      <c r="K4" s="87" t="s">
        <v>52</v>
      </c>
      <c r="L4" s="82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="81" customFormat="1" ht="40" customHeight="1" spans="1:27">
      <c r="A5" s="84"/>
      <c r="B5" s="89" t="s">
        <v>112</v>
      </c>
      <c r="C5" s="90" t="s">
        <v>229</v>
      </c>
      <c r="D5" s="91" t="s">
        <v>230</v>
      </c>
      <c r="E5" s="92" t="s">
        <v>140</v>
      </c>
      <c r="F5" s="93" t="s">
        <v>140</v>
      </c>
      <c r="G5" s="94" t="s">
        <v>141</v>
      </c>
      <c r="H5" s="95">
        <v>5</v>
      </c>
      <c r="I5" s="95" t="s">
        <v>117</v>
      </c>
      <c r="J5" s="95">
        <v>5</v>
      </c>
      <c r="K5" s="95">
        <v>5</v>
      </c>
      <c r="L5" s="96"/>
      <c r="M5" s="97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s="81" customFormat="1" ht="48.75" customHeight="1" spans="1:27">
      <c r="A6" s="84"/>
      <c r="B6" s="98"/>
      <c r="C6" s="99"/>
      <c r="D6" s="91" t="s">
        <v>118</v>
      </c>
      <c r="E6" s="92" t="s">
        <v>140</v>
      </c>
      <c r="F6" s="93" t="s">
        <v>140</v>
      </c>
      <c r="G6" s="94" t="s">
        <v>141</v>
      </c>
      <c r="H6" s="95">
        <v>5</v>
      </c>
      <c r="I6" s="95" t="s">
        <v>117</v>
      </c>
      <c r="J6" s="95">
        <v>5</v>
      </c>
      <c r="K6" s="95">
        <v>5</v>
      </c>
      <c r="L6" s="96"/>
      <c r="M6" s="97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s="81" customFormat="1" ht="47.25" customHeight="1" spans="1:27">
      <c r="A7" s="84"/>
      <c r="B7" s="98"/>
      <c r="C7" s="99"/>
      <c r="D7" s="91" t="s">
        <v>150</v>
      </c>
      <c r="E7" s="92" t="s">
        <v>140</v>
      </c>
      <c r="F7" s="93" t="s">
        <v>140</v>
      </c>
      <c r="G7" s="94" t="s">
        <v>141</v>
      </c>
      <c r="H7" s="95">
        <v>5</v>
      </c>
      <c r="I7" s="95" t="s">
        <v>117</v>
      </c>
      <c r="J7" s="95">
        <v>5</v>
      </c>
      <c r="K7" s="95">
        <v>5</v>
      </c>
      <c r="L7" s="96"/>
      <c r="M7" s="97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s="81" customFormat="1" ht="76.5" customHeight="1" spans="1:27">
      <c r="A8" s="84"/>
      <c r="B8" s="98"/>
      <c r="C8" s="99"/>
      <c r="D8" s="91" t="s">
        <v>231</v>
      </c>
      <c r="E8" s="92" t="s">
        <v>140</v>
      </c>
      <c r="F8" s="93" t="s">
        <v>140</v>
      </c>
      <c r="G8" s="94" t="s">
        <v>141</v>
      </c>
      <c r="H8" s="95">
        <v>5</v>
      </c>
      <c r="I8" s="95" t="s">
        <v>117</v>
      </c>
      <c r="J8" s="95">
        <v>5</v>
      </c>
      <c r="K8" s="95">
        <v>5</v>
      </c>
      <c r="L8" s="96"/>
      <c r="M8" s="97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s="81" customFormat="1" ht="76.5" customHeight="1" spans="1:27">
      <c r="A9" s="84"/>
      <c r="B9" s="98"/>
      <c r="C9" s="99"/>
      <c r="D9" s="91" t="s">
        <v>231</v>
      </c>
      <c r="E9" s="92" t="s">
        <v>140</v>
      </c>
      <c r="F9" s="93" t="s">
        <v>140</v>
      </c>
      <c r="G9" s="94" t="s">
        <v>141</v>
      </c>
      <c r="H9" s="95">
        <v>5</v>
      </c>
      <c r="I9" s="95" t="s">
        <v>117</v>
      </c>
      <c r="J9" s="95">
        <v>5</v>
      </c>
      <c r="K9" s="95">
        <v>5</v>
      </c>
      <c r="L9" s="96"/>
      <c r="M9" s="97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</row>
    <row r="10" s="81" customFormat="1" ht="76.5" customHeight="1" spans="1:27">
      <c r="A10" s="84"/>
      <c r="B10" s="98"/>
      <c r="C10" s="99"/>
      <c r="D10" s="91" t="s">
        <v>232</v>
      </c>
      <c r="E10" s="92" t="s">
        <v>140</v>
      </c>
      <c r="F10" s="93" t="s">
        <v>140</v>
      </c>
      <c r="G10" s="94" t="s">
        <v>141</v>
      </c>
      <c r="H10" s="95">
        <v>5</v>
      </c>
      <c r="I10" s="95" t="s">
        <v>117</v>
      </c>
      <c r="J10" s="95">
        <v>5</v>
      </c>
      <c r="K10" s="95">
        <v>5</v>
      </c>
      <c r="L10" s="96"/>
      <c r="M10" s="97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</row>
    <row r="11" s="81" customFormat="1" ht="76.5" customHeight="1" spans="1:27">
      <c r="A11" s="84"/>
      <c r="B11" s="98"/>
      <c r="C11" s="99"/>
      <c r="D11" s="91" t="s">
        <v>119</v>
      </c>
      <c r="E11" s="92" t="s">
        <v>140</v>
      </c>
      <c r="F11" s="93" t="s">
        <v>140</v>
      </c>
      <c r="G11" s="94" t="s">
        <v>141</v>
      </c>
      <c r="H11" s="95">
        <v>5</v>
      </c>
      <c r="I11" s="95" t="s">
        <v>117</v>
      </c>
      <c r="J11" s="95">
        <v>5</v>
      </c>
      <c r="K11" s="95">
        <v>5</v>
      </c>
      <c r="L11" s="96"/>
      <c r="M11" s="97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</row>
    <row r="12" s="81" customFormat="1" ht="76.5" customHeight="1" spans="1:27">
      <c r="A12" s="84"/>
      <c r="B12" s="98"/>
      <c r="C12" s="100"/>
      <c r="D12" s="91" t="s">
        <v>233</v>
      </c>
      <c r="E12" s="92" t="s">
        <v>140</v>
      </c>
      <c r="F12" s="93" t="s">
        <v>140</v>
      </c>
      <c r="G12" s="94" t="s">
        <v>141</v>
      </c>
      <c r="H12" s="95">
        <v>5</v>
      </c>
      <c r="I12" s="95" t="s">
        <v>117</v>
      </c>
      <c r="J12" s="95">
        <v>5</v>
      </c>
      <c r="K12" s="95">
        <v>5</v>
      </c>
      <c r="L12" s="96"/>
      <c r="M12" s="97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</row>
    <row r="13" s="81" customFormat="1" ht="81" customHeight="1" spans="1:27">
      <c r="A13" s="84"/>
      <c r="B13" s="98"/>
      <c r="C13" s="101" t="s">
        <v>234</v>
      </c>
      <c r="D13" s="91" t="s">
        <v>235</v>
      </c>
      <c r="E13" s="102" t="s">
        <v>235</v>
      </c>
      <c r="F13" s="93" t="s">
        <v>236</v>
      </c>
      <c r="G13" s="94" t="s">
        <v>141</v>
      </c>
      <c r="H13" s="95">
        <v>10</v>
      </c>
      <c r="I13" s="95" t="s">
        <v>117</v>
      </c>
      <c r="J13" s="95">
        <v>10</v>
      </c>
      <c r="K13" s="95">
        <v>10</v>
      </c>
      <c r="L13" s="96"/>
      <c r="M13" s="97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</row>
    <row r="14" s="81" customFormat="1" ht="152" customHeight="1" spans="1:27">
      <c r="A14" s="84"/>
      <c r="B14" s="103" t="s">
        <v>125</v>
      </c>
      <c r="C14" s="90" t="s">
        <v>237</v>
      </c>
      <c r="D14" s="104" t="s">
        <v>65</v>
      </c>
      <c r="E14" s="91" t="s">
        <v>238</v>
      </c>
      <c r="F14" s="104" t="s">
        <v>128</v>
      </c>
      <c r="G14" s="91" t="s">
        <v>239</v>
      </c>
      <c r="H14" s="95">
        <v>10</v>
      </c>
      <c r="I14" s="95"/>
      <c r="J14" s="95">
        <v>10</v>
      </c>
      <c r="K14" s="95">
        <v>10</v>
      </c>
      <c r="L14" s="97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="81" customFormat="1" ht="93" customHeight="1" spans="1:27">
      <c r="A15" s="84"/>
      <c r="B15" s="103"/>
      <c r="C15" s="90"/>
      <c r="D15" s="105" t="s">
        <v>69</v>
      </c>
      <c r="E15" s="106" t="s">
        <v>240</v>
      </c>
      <c r="F15" s="105" t="s">
        <v>128</v>
      </c>
      <c r="G15" s="106" t="s">
        <v>241</v>
      </c>
      <c r="H15" s="95">
        <v>5</v>
      </c>
      <c r="I15" s="95"/>
      <c r="J15" s="95">
        <v>5</v>
      </c>
      <c r="K15" s="95">
        <v>5</v>
      </c>
      <c r="L15" s="97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="81" customFormat="1" ht="76.5" customHeight="1" spans="1:27">
      <c r="A16" s="84"/>
      <c r="B16" s="103"/>
      <c r="C16" s="107" t="s">
        <v>242</v>
      </c>
      <c r="D16" s="104" t="s">
        <v>74</v>
      </c>
      <c r="E16" s="91" t="s">
        <v>75</v>
      </c>
      <c r="F16" s="104" t="s">
        <v>128</v>
      </c>
      <c r="G16" s="108" t="s">
        <v>243</v>
      </c>
      <c r="H16" s="95">
        <v>20</v>
      </c>
      <c r="I16" s="95"/>
      <c r="J16" s="95">
        <v>20</v>
      </c>
      <c r="K16" s="95">
        <v>20</v>
      </c>
      <c r="L16" s="82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="81" customFormat="1" ht="58" customHeight="1" spans="1:26">
      <c r="A17" s="84"/>
      <c r="B17" s="103"/>
      <c r="C17" s="107"/>
      <c r="D17" s="104" t="s">
        <v>131</v>
      </c>
      <c r="E17" s="91" t="s">
        <v>80</v>
      </c>
      <c r="F17" s="104" t="s">
        <v>128</v>
      </c>
      <c r="G17" s="108" t="s">
        <v>244</v>
      </c>
      <c r="H17" s="95">
        <v>10</v>
      </c>
      <c r="I17" s="95"/>
      <c r="J17" s="95">
        <v>10</v>
      </c>
      <c r="K17" s="95">
        <v>7</v>
      </c>
      <c r="L17" s="82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="81" customFormat="1" ht="53" spans="1:26">
      <c r="A18" s="109"/>
      <c r="B18" s="103"/>
      <c r="C18" s="87" t="s">
        <v>245</v>
      </c>
      <c r="D18" s="110" t="s">
        <v>133</v>
      </c>
      <c r="E18" s="95" t="s">
        <v>246</v>
      </c>
      <c r="F18" s="104" t="s">
        <v>128</v>
      </c>
      <c r="G18" s="108" t="s">
        <v>135</v>
      </c>
      <c r="H18" s="95">
        <v>5</v>
      </c>
      <c r="I18" s="95"/>
      <c r="J18" s="95">
        <v>5</v>
      </c>
      <c r="K18" s="95">
        <v>5</v>
      </c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="81" customFormat="1" ht="34" customHeight="1" spans="1:26">
      <c r="A19" s="82"/>
      <c r="B19" s="111" t="s">
        <v>87</v>
      </c>
      <c r="C19" s="112" t="s">
        <v>87</v>
      </c>
      <c r="D19" s="113" t="s">
        <v>88</v>
      </c>
      <c r="E19" s="113"/>
      <c r="F19" s="114" t="s">
        <v>128</v>
      </c>
      <c r="G19" s="115"/>
      <c r="H19" s="115"/>
      <c r="I19" s="115"/>
      <c r="J19" s="116"/>
      <c r="K19" s="116"/>
      <c r="L19" s="82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="81" customFormat="1" ht="28.5" customHeight="1" spans="1:26">
      <c r="A20" s="82"/>
      <c r="B20" s="117" t="s">
        <v>247</v>
      </c>
      <c r="C20" s="117"/>
      <c r="D20" s="117"/>
      <c r="E20" s="117"/>
      <c r="F20" s="117"/>
      <c r="G20" s="117"/>
      <c r="H20" s="118"/>
      <c r="I20" s="118"/>
      <c r="J20" s="119"/>
      <c r="K20" s="119"/>
      <c r="L20" s="82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="81" customFormat="1" ht="64.5" customHeight="1" spans="1:26">
      <c r="A21" s="82"/>
      <c r="B21" s="85" t="s">
        <v>89</v>
      </c>
      <c r="C21" s="85"/>
      <c r="D21" s="85"/>
      <c r="E21" s="85"/>
      <c r="F21" s="85"/>
      <c r="G21" s="85"/>
      <c r="H21" s="85"/>
      <c r="I21" s="85"/>
      <c r="J21" s="85"/>
      <c r="K21" s="85"/>
      <c r="L21" s="82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="81" customFormat="1" ht="67.5" customHeight="1" spans="1:26">
      <c r="A22" s="82"/>
      <c r="B22" s="85" t="s">
        <v>43</v>
      </c>
      <c r="C22" s="85" t="s">
        <v>44</v>
      </c>
      <c r="D22" s="87" t="s">
        <v>228</v>
      </c>
      <c r="E22" s="87" t="s">
        <v>46</v>
      </c>
      <c r="F22" s="87" t="s">
        <v>47</v>
      </c>
      <c r="G22" s="87" t="s">
        <v>50</v>
      </c>
      <c r="H22" s="87"/>
      <c r="I22" s="87"/>
      <c r="J22" s="87" t="s">
        <v>51</v>
      </c>
      <c r="K22" s="87" t="s">
        <v>52</v>
      </c>
      <c r="L22" s="82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="81" customFormat="1" ht="49" customHeight="1" spans="1:26">
      <c r="A23" s="82"/>
      <c r="B23" s="87" t="s">
        <v>90</v>
      </c>
      <c r="C23" s="120" t="s">
        <v>91</v>
      </c>
      <c r="D23" s="121" t="s">
        <v>248</v>
      </c>
      <c r="E23" s="121"/>
      <c r="F23" s="122" t="s">
        <v>93</v>
      </c>
      <c r="G23" s="104"/>
      <c r="H23" s="104"/>
      <c r="I23" s="104"/>
      <c r="J23" s="123">
        <f>SUM(J5:J22)</f>
        <v>100</v>
      </c>
      <c r="K23" s="123">
        <f>SUM(K5:K22)</f>
        <v>97</v>
      </c>
      <c r="L23" s="82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="81" customFormat="1" ht="28.5" customHeight="1" spans="1:26">
      <c r="B24" s="124"/>
      <c r="C24" s="125"/>
      <c r="D24" s="125"/>
      <c r="E24" s="125"/>
      <c r="F24" s="126"/>
      <c r="G24" s="126"/>
      <c r="H24" s="125"/>
      <c r="I24" s="125"/>
      <c r="J24" s="127"/>
      <c r="K24" s="127"/>
      <c r="L24" s="82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="81" customFormat="1" ht="64.5" customHeight="1" spans="1:26">
      <c r="A25" s="82"/>
      <c r="B25" s="127" t="s">
        <v>94</v>
      </c>
      <c r="C25" s="127" t="s">
        <v>95</v>
      </c>
      <c r="D25" s="127"/>
      <c r="E25" s="127" t="s">
        <v>96</v>
      </c>
      <c r="F25" s="128"/>
      <c r="G25" s="125"/>
      <c r="H25" s="126"/>
      <c r="I25" s="127" t="s">
        <v>97</v>
      </c>
      <c r="J25" s="129"/>
      <c r="K25" s="125"/>
      <c r="L25" s="82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="81" customFormat="1" ht="17.6" spans="1:26">
      <c r="A26" s="82"/>
      <c r="B26" s="127" t="s">
        <v>98</v>
      </c>
      <c r="C26" s="127" t="s">
        <v>95</v>
      </c>
      <c r="D26" s="127"/>
      <c r="E26" s="127" t="s">
        <v>96</v>
      </c>
      <c r="F26" s="130"/>
      <c r="G26" s="125"/>
      <c r="H26" s="126"/>
      <c r="I26" s="127" t="s">
        <v>97</v>
      </c>
      <c r="J26" s="127"/>
      <c r="K26" s="125"/>
      <c r="L26" s="82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="81" customFormat="1" ht="17.6" spans="1:26">
      <c r="A27" s="82"/>
      <c r="B27" s="131" t="s">
        <v>99</v>
      </c>
      <c r="C27" s="126"/>
      <c r="D27" s="126"/>
      <c r="E27" s="126"/>
      <c r="F27" s="126"/>
      <c r="G27" s="126"/>
      <c r="H27" s="126"/>
      <c r="I27" s="126"/>
      <c r="J27" s="125"/>
      <c r="K27" s="125"/>
      <c r="L27" s="82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="81" customFormat="1" ht="17.6" spans="1:26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s="81" customFormat="1" ht="17.6" spans="1:26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s="81" customFormat="1" ht="17.6" spans="1:26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s="81" customFormat="1" ht="17.6" spans="1:26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s="81" customFormat="1" ht="17.6" spans="1:26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s="81" customFormat="1" ht="17.6" spans="1:26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s="81" customFormat="1" ht="17.6" spans="1:26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s="81" customFormat="1" ht="17.6" spans="1:26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s="81" customFormat="1" ht="17.6" spans="1:26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s="81" customFormat="1" ht="17.6" spans="1:26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s="81" customFormat="1" ht="17.6" spans="1:26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s="81" customFormat="1" ht="17.6" spans="1:26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s="81" customFormat="1" ht="17.6" spans="1:26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s="81" customFormat="1" ht="17.6" spans="1:26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s="81" customFormat="1" ht="17.6" spans="1:26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s="81" customFormat="1" ht="17.6" spans="1:26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s="81" customFormat="1" ht="17.6" spans="1:26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s="81" customFormat="1" ht="17.6" spans="1:26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s="81" customFormat="1" ht="17.6" spans="1:26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 s="81" customFormat="1" ht="17.6" spans="1:26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s="81" customFormat="1" ht="17.6" spans="1:26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s="81" customFormat="1" ht="17.6" spans="1:26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s="81" customFormat="1" ht="17.6" spans="1:26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s="81" customFormat="1" ht="17.6" spans="1:26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s="81" customFormat="1" ht="17.6" spans="1:26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="81" customFormat="1" ht="17.6" spans="1:26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s="81" customFormat="1" ht="17.6" spans="1:26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 s="81" customFormat="1" ht="17.6" spans="1:26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 s="81" customFormat="1" ht="17.6" spans="1:26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 s="81" customFormat="1" ht="17.6" spans="1:26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 s="81" customFormat="1" ht="17.6" spans="1:26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 s="81" customFormat="1" ht="17.6" spans="1:26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s="81" customFormat="1" ht="17.6" spans="1:26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s="81" customFormat="1" ht="17.6" spans="1:26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 s="81" customFormat="1" ht="17.6" spans="1:26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 s="81" customFormat="1" ht="17.6" spans="1:26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 s="81" customFormat="1" ht="17.6" spans="1:26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 s="81" customFormat="1" ht="17.6" spans="1:26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 s="81" customFormat="1" ht="17.6" spans="1:26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s="81" customFormat="1" ht="17.6" spans="1:26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 s="81" customFormat="1" ht="17.6" spans="1:26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 s="81" customFormat="1" ht="17.6" spans="1:26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 s="81" customFormat="1" ht="17.6" spans="1:26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 s="81" customFormat="1" ht="17.6" spans="1:26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 s="81" customFormat="1" ht="17.6" spans="1:26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 s="81" customFormat="1" ht="17.6" spans="1:26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s="81" customFormat="1" ht="17.6" spans="1:26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</row>
    <row r="75" s="81" customFormat="1" ht="17.6" spans="1:26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</row>
    <row r="76" s="81" customFormat="1" ht="17.6" spans="1:26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</row>
    <row r="77" s="81" customFormat="1" ht="17.6" spans="1:26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</row>
    <row r="78" s="81" customFormat="1" ht="17.6" spans="1:26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 s="81" customFormat="1" ht="17.6" spans="1:26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</row>
    <row r="80" s="81" customFormat="1" ht="17.6" spans="1:26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</row>
    <row r="81" s="81" customFormat="1" ht="17.6" spans="1:26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</row>
    <row r="82" s="81" customFormat="1" ht="17.6" spans="1:26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</row>
    <row r="83" s="81" customFormat="1" ht="17.6" spans="1:26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</row>
    <row r="84" s="81" customFormat="1" ht="17.6" spans="1:26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 s="81" customFormat="1" ht="17.6" spans="1:26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 s="81" customFormat="1" ht="17.6" spans="1:26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 s="81" customFormat="1" ht="17.6" spans="1:26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</row>
    <row r="88" s="81" customFormat="1" ht="17.6" spans="1:26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</row>
    <row r="89" s="81" customFormat="1" ht="17.6" spans="1:26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 s="81" customFormat="1" ht="17.6" spans="1:26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</row>
    <row r="91" s="81" customFormat="1" ht="17.6" spans="1:26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</row>
    <row r="92" s="81" customFormat="1" ht="17.6" spans="1:26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</row>
    <row r="93" s="81" customFormat="1" ht="17.6" spans="1:26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</row>
    <row r="94" s="81" customFormat="1" ht="17.6" spans="1:26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</row>
    <row r="95" s="81" customFormat="1" ht="17.6" spans="1:26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</row>
    <row r="96" s="81" customFormat="1" ht="17.6" spans="1:26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</row>
    <row r="97" s="81" customFormat="1" ht="17.6" spans="1:26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</row>
    <row r="98" s="81" customFormat="1" ht="17.6" spans="1:26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</row>
    <row r="99" s="81" customFormat="1" ht="17.6" spans="1:26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</row>
    <row r="100" s="81" customFormat="1" ht="17.6" spans="1:26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</row>
    <row r="101" s="81" customFormat="1" ht="17.6" spans="1:26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</row>
    <row r="102" s="81" customFormat="1" ht="17.6" spans="1:26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</row>
    <row r="103" s="81" customFormat="1" ht="17.6" spans="1:26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</row>
    <row r="104" s="81" customFormat="1" ht="17.6" spans="1:26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</row>
    <row r="105" s="81" customFormat="1" ht="17.6" spans="1:26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</row>
    <row r="106" s="81" customFormat="1" ht="17.6" spans="1:26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</row>
    <row r="107" s="81" customFormat="1" ht="17.6" spans="1:26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</row>
    <row r="108" s="81" customFormat="1" ht="17.6" spans="1:26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 s="81" customFormat="1" ht="17.6" spans="1:26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 s="81" customFormat="1" ht="17.6" spans="1:26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</row>
    <row r="111" s="81" customFormat="1" ht="17.6" spans="1:26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</row>
    <row r="112" s="81" customFormat="1" ht="17.6" spans="1:26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</row>
    <row r="113" s="81" customFormat="1" ht="17.6" spans="1:26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</row>
    <row r="114" s="81" customFormat="1" ht="17.6" spans="1:26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</row>
    <row r="115" s="81" customFormat="1" ht="17.6" spans="1:26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</row>
    <row r="116" s="81" customFormat="1" ht="17.6" spans="1:26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</row>
    <row r="117" s="81" customFormat="1" ht="17.6" spans="1:26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</row>
    <row r="118" s="81" customFormat="1" ht="17.6" spans="1:26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</row>
    <row r="119" s="81" customFormat="1" ht="17.6" spans="1:26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</row>
    <row r="120" s="81" customFormat="1" ht="17.6" spans="1:26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</row>
    <row r="121" s="81" customFormat="1" ht="17.6" spans="1:26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</row>
    <row r="122" s="81" customFormat="1" ht="17.6" spans="1:26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</row>
    <row r="123" s="81" customFormat="1" ht="17.6" spans="1:26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</row>
    <row r="124" s="81" customFormat="1" ht="17.6" spans="1:26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</row>
    <row r="125" s="81" customFormat="1" ht="17.6" spans="1:26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</row>
    <row r="126" s="81" customFormat="1" ht="17.6" spans="1:26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</row>
    <row r="127" s="81" customFormat="1" ht="17.6" spans="1:26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</row>
    <row r="128" s="81" customFormat="1" ht="17.6" spans="1:26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</row>
    <row r="129" s="81" customFormat="1" ht="17.6" spans="1:26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</row>
    <row r="130" s="81" customFormat="1" ht="17.6" spans="1:26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</row>
    <row r="131" s="81" customFormat="1" ht="17.6" spans="1:26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</row>
    <row r="132" s="81" customFormat="1" ht="17.6" spans="1:26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</row>
    <row r="133" s="81" customFormat="1" ht="17.6" spans="1:26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</row>
    <row r="134" s="81" customFormat="1" ht="17.6" spans="1:26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</row>
    <row r="135" s="81" customFormat="1" ht="17.6" spans="1:26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</row>
    <row r="136" s="81" customFormat="1" ht="17.6" spans="1:26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</row>
    <row r="137" s="81" customFormat="1" ht="17.6" spans="1:26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</row>
    <row r="138" s="81" customFormat="1" ht="17.6" spans="1:26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</row>
    <row r="139" s="81" customFormat="1" ht="17.6" spans="1:26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</row>
    <row r="140" s="81" customFormat="1" ht="17.6" spans="1:26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</row>
    <row r="141" s="81" customFormat="1" ht="17.6" spans="1:26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</row>
    <row r="142" s="81" customFormat="1" ht="17.6" spans="1:26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</row>
    <row r="143" s="81" customFormat="1" ht="17.6" spans="1:26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</row>
    <row r="144" s="81" customFormat="1" ht="17.6" spans="1:26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</row>
    <row r="145" s="81" customFormat="1" ht="17.6" spans="1:26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</row>
    <row r="146" s="81" customFormat="1" ht="17.6" spans="1:26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</row>
    <row r="147" s="81" customFormat="1" ht="17.6" spans="1:26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</row>
    <row r="148" s="81" customFormat="1" ht="17.6" spans="1:26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</row>
    <row r="149" s="81" customFormat="1" ht="17.6" spans="1:26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</row>
    <row r="150" s="81" customFormat="1" ht="17.6" spans="1:26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</row>
    <row r="151" s="81" customFormat="1" ht="17.6" spans="1:26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</row>
    <row r="152" s="81" customFormat="1" ht="17.6" spans="1:26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</row>
    <row r="153" s="81" customFormat="1" ht="17.6" spans="1:26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</row>
    <row r="154" s="81" customFormat="1" ht="17.6" spans="1:26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</row>
    <row r="155" s="81" customFormat="1" ht="17.6" spans="1:26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</row>
    <row r="156" s="81" customFormat="1" ht="17.6" spans="1:26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</row>
    <row r="157" s="81" customFormat="1" ht="17.6" spans="1:26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</row>
    <row r="158" s="81" customFormat="1" ht="17.6" spans="1:26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</row>
    <row r="159" s="81" customFormat="1" ht="17.6" spans="1:26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</row>
    <row r="160" s="81" customFormat="1" ht="17.6" spans="1:26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</row>
    <row r="161" s="81" customFormat="1" ht="17.6" spans="1:26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</row>
    <row r="162" s="81" customFormat="1" ht="17.6" spans="1:26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</row>
    <row r="163" s="81" customFormat="1" ht="17.6" spans="1:26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</row>
    <row r="164" s="81" customFormat="1" ht="17.6" spans="1:26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</row>
    <row r="165" s="81" customFormat="1" ht="17.6" spans="1:26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</row>
    <row r="166" s="81" customFormat="1" ht="17.6" spans="1:26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</row>
    <row r="167" s="81" customFormat="1" ht="17.6" spans="1:26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</row>
    <row r="168" s="81" customFormat="1" ht="17.6" spans="1:26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</row>
    <row r="169" s="81" customFormat="1" ht="17.6" spans="1:26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</row>
    <row r="170" s="81" customFormat="1" ht="17.6" spans="1:26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</row>
    <row r="171" s="81" customFormat="1" ht="17.6" spans="1:26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</row>
    <row r="172" s="81" customFormat="1" ht="17.6" spans="1:26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</row>
    <row r="173" s="81" customFormat="1" ht="17.6" spans="1:26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</row>
    <row r="174" s="81" customFormat="1" ht="17.6" spans="1:26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</row>
    <row r="175" s="81" customFormat="1" ht="17.6" spans="1:26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</row>
    <row r="176" s="81" customFormat="1" ht="17.6" spans="1:26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</row>
    <row r="177" s="81" customFormat="1" ht="17.6" spans="1:26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</row>
    <row r="178" s="81" customFormat="1" ht="17.6" spans="1:26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</row>
    <row r="179" s="81" customFormat="1" ht="17.6" spans="1:26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</row>
    <row r="180" s="81" customFormat="1" ht="17.6" spans="1:26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</row>
    <row r="181" s="81" customFormat="1" ht="17.6" spans="1:26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</row>
    <row r="182" s="81" customFormat="1" ht="17.6" spans="1:26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</row>
    <row r="183" s="81" customFormat="1" ht="17.6" spans="1:26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</row>
    <row r="184" s="81" customFormat="1" ht="17.6" spans="1:26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</row>
    <row r="185" s="81" customFormat="1" ht="17.6" spans="1:26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</row>
    <row r="186" s="81" customFormat="1" ht="17.6" spans="1:26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</row>
    <row r="187" s="81" customFormat="1" ht="17.6" spans="1:26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</row>
    <row r="188" s="81" customFormat="1" ht="17.6" spans="1:26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</row>
    <row r="189" s="81" customFormat="1" ht="17.6" spans="1:26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</row>
    <row r="190" s="81" customFormat="1" ht="17.6" spans="1:26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</row>
    <row r="191" s="81" customFormat="1" ht="17.6" spans="1:26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</row>
    <row r="192" s="81" customFormat="1" ht="17.6" spans="1:26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</row>
    <row r="193" s="81" customFormat="1" ht="17.6" spans="1:26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</row>
    <row r="194" s="81" customFormat="1" ht="17.6" spans="1:26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</row>
    <row r="195" s="81" customFormat="1" ht="17.6" spans="1:26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</row>
    <row r="196" s="81" customFormat="1" ht="17.6" spans="1:26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</row>
    <row r="197" s="81" customFormat="1" ht="17.6" spans="1:26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</row>
    <row r="198" s="81" customFormat="1" ht="17.6" spans="1:26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</row>
    <row r="199" s="81" customFormat="1" ht="17.6" spans="1:26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</row>
    <row r="200" s="81" customFormat="1" ht="17.6" spans="1:26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</row>
    <row r="201" s="81" customFormat="1" ht="17.6" spans="1:26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</row>
    <row r="202" s="81" customFormat="1" ht="17.6" spans="1:26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</row>
    <row r="203" s="81" customFormat="1" ht="17.6" spans="1:26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</row>
    <row r="204" s="81" customFormat="1" ht="17.6" spans="1:26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</row>
    <row r="205" s="81" customFormat="1" ht="17.6" spans="1:26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</row>
    <row r="206" s="81" customFormat="1" ht="17.6" spans="1:26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</row>
    <row r="207" s="81" customFormat="1" ht="17.6" spans="1:26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</row>
    <row r="208" s="81" customFormat="1" ht="17.6" spans="1:26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</row>
    <row r="209" s="81" customFormat="1" ht="17.6" spans="1:26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</row>
    <row r="210" s="81" customFormat="1" ht="17.6" spans="1:26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</row>
    <row r="211" s="81" customFormat="1" ht="17.6" spans="1:26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</row>
    <row r="212" s="81" customFormat="1" ht="17.6" spans="1:26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</row>
  </sheetData>
  <mergeCells count="20">
    <mergeCell ref="B1:K1"/>
    <mergeCell ref="E2:G2"/>
    <mergeCell ref="B3:K3"/>
    <mergeCell ref="D19:E19"/>
    <mergeCell ref="B20:G20"/>
    <mergeCell ref="B21:K21"/>
    <mergeCell ref="G22:I22"/>
    <mergeCell ref="D23:E23"/>
    <mergeCell ref="G23:I23"/>
    <mergeCell ref="B24:I24"/>
    <mergeCell ref="F25:H25"/>
    <mergeCell ref="J25:K25"/>
    <mergeCell ref="F26:H26"/>
    <mergeCell ref="J26:K26"/>
    <mergeCell ref="B27:K27"/>
    <mergeCell ref="B5:B13"/>
    <mergeCell ref="B14:B18"/>
    <mergeCell ref="C5:C12"/>
    <mergeCell ref="C14:C15"/>
    <mergeCell ref="C16:C1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39" zoomScaleNormal="39" topLeftCell="B1" workbookViewId="0">
      <selection activeCell="I21" sqref="I21:J21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36</v>
      </c>
      <c r="B2" s="5" t="s">
        <v>249</v>
      </c>
      <c r="C2" s="5" t="s">
        <v>100</v>
      </c>
      <c r="D2" s="5" t="s">
        <v>39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ht="30" customHeight="1" spans="1:11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</row>
    <row r="5" ht="68" customHeight="1" spans="1:11">
      <c r="A5" s="10" t="s">
        <v>53</v>
      </c>
      <c r="B5" s="77" t="s">
        <v>54</v>
      </c>
      <c r="C5" s="78" t="s">
        <v>250</v>
      </c>
      <c r="D5" s="79" t="s">
        <v>193</v>
      </c>
      <c r="E5" s="29" t="s">
        <v>57</v>
      </c>
      <c r="F5" s="48" t="s">
        <v>58</v>
      </c>
      <c r="G5" s="16">
        <v>10</v>
      </c>
      <c r="H5" s="17" t="s">
        <v>251</v>
      </c>
      <c r="I5" s="29">
        <v>10</v>
      </c>
      <c r="J5" s="29">
        <v>10</v>
      </c>
      <c r="K5" s="19"/>
    </row>
    <row r="6" ht="68" customHeight="1" spans="1:11">
      <c r="A6" s="20"/>
      <c r="C6" s="78" t="s">
        <v>252</v>
      </c>
      <c r="D6" s="79" t="s">
        <v>193</v>
      </c>
      <c r="E6" s="29"/>
      <c r="F6" s="20"/>
      <c r="G6" s="16">
        <v>5</v>
      </c>
      <c r="H6" s="17" t="s">
        <v>251</v>
      </c>
      <c r="I6" s="29">
        <v>5</v>
      </c>
      <c r="J6" s="29">
        <v>5</v>
      </c>
      <c r="K6" s="19"/>
    </row>
    <row r="7" ht="72.75" customHeight="1" spans="1:11">
      <c r="A7" s="20"/>
      <c r="C7" s="78" t="s">
        <v>253</v>
      </c>
      <c r="D7" s="79" t="s">
        <v>193</v>
      </c>
      <c r="E7" s="29"/>
      <c r="F7" s="20"/>
      <c r="G7" s="16">
        <v>5</v>
      </c>
      <c r="H7" s="17" t="s">
        <v>254</v>
      </c>
      <c r="I7" s="29">
        <v>5</v>
      </c>
      <c r="J7" s="29">
        <v>5</v>
      </c>
      <c r="K7" s="23"/>
    </row>
    <row r="8" ht="72.75" customHeight="1" spans="1:11">
      <c r="A8" s="20"/>
      <c r="C8" s="78" t="s">
        <v>255</v>
      </c>
      <c r="D8" s="79" t="s">
        <v>193</v>
      </c>
      <c r="E8" s="29" t="s">
        <v>57</v>
      </c>
      <c r="F8" s="20"/>
      <c r="G8" s="16">
        <v>10</v>
      </c>
      <c r="H8" s="17" t="s">
        <v>254</v>
      </c>
      <c r="I8" s="29">
        <v>10</v>
      </c>
      <c r="J8" s="29">
        <v>10</v>
      </c>
      <c r="K8" s="23"/>
    </row>
    <row r="9" ht="74.25" customHeight="1" spans="1:11">
      <c r="A9" s="20"/>
      <c r="B9" s="30" t="s">
        <v>60</v>
      </c>
      <c r="C9" s="50" t="s">
        <v>256</v>
      </c>
      <c r="D9" s="79" t="s">
        <v>257</v>
      </c>
      <c r="E9" s="13" t="s">
        <v>57</v>
      </c>
      <c r="F9" s="20"/>
      <c r="G9" s="16">
        <v>20</v>
      </c>
      <c r="H9" s="17" t="s">
        <v>258</v>
      </c>
      <c r="I9" s="29">
        <v>20</v>
      </c>
      <c r="J9" s="29">
        <v>20</v>
      </c>
      <c r="K9" s="23" t="s">
        <v>259</v>
      </c>
    </row>
    <row r="10" ht="117" customHeight="1" spans="1:11">
      <c r="A10" s="9" t="s">
        <v>64</v>
      </c>
      <c r="B10" s="41" t="s">
        <v>65</v>
      </c>
      <c r="C10" s="42" t="s">
        <v>66</v>
      </c>
      <c r="D10" s="42" t="s">
        <v>67</v>
      </c>
      <c r="E10" s="43" t="s">
        <v>57</v>
      </c>
      <c r="F10" s="44" t="s">
        <v>68</v>
      </c>
      <c r="G10" s="16">
        <v>10</v>
      </c>
      <c r="H10" s="17"/>
      <c r="I10" s="29">
        <v>10</v>
      </c>
      <c r="J10" s="29">
        <v>10</v>
      </c>
      <c r="K10" s="23" t="s">
        <v>260</v>
      </c>
    </row>
    <row r="11" ht="156.75" customHeight="1" spans="1:11">
      <c r="A11" s="20"/>
      <c r="B11" s="41" t="s">
        <v>69</v>
      </c>
      <c r="C11" s="42" t="s">
        <v>70</v>
      </c>
      <c r="D11" s="42" t="s">
        <v>71</v>
      </c>
      <c r="E11" s="43" t="s">
        <v>57</v>
      </c>
      <c r="F11" s="44" t="s">
        <v>72</v>
      </c>
      <c r="G11" s="16">
        <v>20</v>
      </c>
      <c r="H11" s="17"/>
      <c r="I11" s="29">
        <v>20</v>
      </c>
      <c r="J11" s="29">
        <v>20</v>
      </c>
    </row>
    <row r="12" ht="93" customHeight="1" spans="1:11">
      <c r="A12" s="20"/>
      <c r="B12" s="26" t="s">
        <v>73</v>
      </c>
      <c r="C12" s="46" t="s">
        <v>74</v>
      </c>
      <c r="D12" s="47" t="s">
        <v>75</v>
      </c>
      <c r="E12" s="15" t="s">
        <v>76</v>
      </c>
      <c r="F12" s="48" t="s">
        <v>77</v>
      </c>
      <c r="G12" s="16">
        <v>10</v>
      </c>
      <c r="H12" s="17"/>
      <c r="I12" s="29">
        <v>10</v>
      </c>
      <c r="J12" s="29">
        <v>10</v>
      </c>
    </row>
    <row r="13" ht="76.5" customHeight="1" spans="1:11">
      <c r="A13" s="20"/>
      <c r="B13" s="21"/>
      <c r="C13" s="49" t="s">
        <v>79</v>
      </c>
      <c r="D13" s="50" t="s">
        <v>80</v>
      </c>
      <c r="E13" s="30" t="s">
        <v>81</v>
      </c>
      <c r="F13" s="51" t="s">
        <v>82</v>
      </c>
      <c r="G13" s="16">
        <v>10</v>
      </c>
      <c r="H13" s="17"/>
      <c r="I13" s="29">
        <v>10</v>
      </c>
      <c r="J13" s="29">
        <v>10</v>
      </c>
    </row>
    <row r="14" ht="76.5" customHeight="1" spans="1:11">
      <c r="A14" s="21"/>
      <c r="B14" s="52" t="s">
        <v>84</v>
      </c>
      <c r="C14" s="53" t="s">
        <v>85</v>
      </c>
      <c r="D14" s="54"/>
      <c r="E14" s="55"/>
      <c r="F14" s="56"/>
      <c r="G14" s="57"/>
      <c r="H14" s="13"/>
      <c r="I14" s="18"/>
      <c r="J14" s="18"/>
    </row>
    <row r="15" ht="39" customHeight="1" spans="1:11">
      <c r="A15" s="58" t="s">
        <v>87</v>
      </c>
      <c r="B15" s="59" t="s">
        <v>87</v>
      </c>
      <c r="C15" s="59" t="s">
        <v>88</v>
      </c>
      <c r="D15" s="3"/>
      <c r="E15" s="3"/>
      <c r="F15" s="4"/>
      <c r="G15" s="16"/>
      <c r="H15" s="13"/>
      <c r="I15" s="18"/>
      <c r="J15" s="18"/>
    </row>
    <row r="16" ht="28" customHeight="1" spans="1:11">
      <c r="A16" s="5" t="s">
        <v>89</v>
      </c>
      <c r="B16" s="3"/>
      <c r="C16" s="3"/>
      <c r="D16" s="3"/>
      <c r="E16" s="3"/>
      <c r="F16" s="3"/>
      <c r="G16" s="3"/>
      <c r="H16" s="3"/>
      <c r="I16" s="3"/>
      <c r="J16" s="4"/>
    </row>
    <row r="17" ht="36" customHeight="1" spans="1:10">
      <c r="A17" s="7" t="s">
        <v>43</v>
      </c>
      <c r="B17" s="7" t="s">
        <v>44</v>
      </c>
      <c r="C17" s="8" t="s">
        <v>45</v>
      </c>
      <c r="D17" s="8" t="s">
        <v>46</v>
      </c>
      <c r="E17" s="8" t="s">
        <v>47</v>
      </c>
      <c r="F17" s="9" t="s">
        <v>50</v>
      </c>
      <c r="G17" s="3"/>
      <c r="H17" s="4"/>
      <c r="I17" s="9" t="s">
        <v>51</v>
      </c>
      <c r="J17" s="9" t="s">
        <v>52</v>
      </c>
    </row>
    <row r="18" ht="18" customHeight="1" spans="1:10">
      <c r="A18" s="61" t="s">
        <v>90</v>
      </c>
      <c r="B18" s="62" t="s">
        <v>91</v>
      </c>
      <c r="C18" s="63" t="s">
        <v>92</v>
      </c>
      <c r="D18" s="4"/>
      <c r="E18" s="64" t="s">
        <v>93</v>
      </c>
      <c r="F18" s="8"/>
      <c r="G18" s="3"/>
      <c r="H18" s="4"/>
      <c r="I18" s="65"/>
      <c r="J18" s="65"/>
    </row>
    <row r="19" ht="29.25" customHeight="1" spans="1:10">
      <c r="A19" s="66"/>
      <c r="B19" s="3"/>
      <c r="C19" s="3"/>
      <c r="D19" s="3"/>
      <c r="E19" s="3"/>
      <c r="F19" s="3"/>
      <c r="G19" s="3"/>
      <c r="H19" s="4"/>
      <c r="I19" s="67">
        <f>SUM(I5:I15)+I18</f>
        <v>100</v>
      </c>
      <c r="J19" s="67">
        <f>SUM(J5:J15)+J18</f>
        <v>100</v>
      </c>
    </row>
    <row r="20" ht="35" customHeight="1" spans="1:10">
      <c r="A20" s="68" t="s">
        <v>94</v>
      </c>
      <c r="B20" s="68" t="s">
        <v>95</v>
      </c>
      <c r="C20" s="68"/>
      <c r="D20" s="68" t="s">
        <v>96</v>
      </c>
      <c r="E20" s="69"/>
      <c r="F20" s="3"/>
      <c r="G20" s="4"/>
      <c r="H20" s="68" t="s">
        <v>97</v>
      </c>
      <c r="I20" s="68"/>
      <c r="J20" s="4"/>
    </row>
    <row r="21" ht="35" customHeight="1" spans="1:10">
      <c r="A21" s="68" t="s">
        <v>98</v>
      </c>
      <c r="B21" s="68" t="s">
        <v>95</v>
      </c>
      <c r="C21" s="68"/>
      <c r="D21" s="68" t="s">
        <v>96</v>
      </c>
      <c r="E21" s="9"/>
      <c r="F21" s="3"/>
      <c r="G21" s="4"/>
      <c r="H21" s="68" t="s">
        <v>97</v>
      </c>
      <c r="I21" s="68"/>
      <c r="J21" s="4"/>
    </row>
    <row r="22" ht="68" customHeight="1" spans="1:10">
      <c r="A22" s="71" t="s">
        <v>99</v>
      </c>
      <c r="B22" s="3"/>
      <c r="C22" s="3"/>
      <c r="D22" s="3"/>
      <c r="E22" s="3"/>
      <c r="F22" s="3"/>
      <c r="G22" s="3"/>
      <c r="H22" s="3"/>
      <c r="I22" s="3"/>
      <c r="J22" s="4"/>
    </row>
    <row r="23" ht="68" customHeight="1" spans="1:10">
      <c r="H23" s="80"/>
    </row>
  </sheetData>
  <mergeCells count="19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  <mergeCell ref="F5:F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42" zoomScaleNormal="42" workbookViewId="0">
      <selection activeCell="J17" sqref="J17"/>
    </sheetView>
  </sheetViews>
  <sheetFormatPr defaultColWidth="9" defaultRowHeight="16.8"/>
  <cols>
    <col min="1" max="1" width="19.75" style="1" customWidth="1"/>
    <col min="2" max="2" width="44.5178571428571" style="1" customWidth="1"/>
    <col min="3" max="3" width="40.7589285714286" style="1" customWidth="1"/>
    <col min="4" max="4" width="84.6785714285714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20.125" style="1" customWidth="1"/>
    <col min="9" max="9" width="18.2767857142857" style="1" customWidth="1"/>
    <col min="10" max="10" width="79.5446428571429" style="1" customWidth="1"/>
    <col min="11" max="11" width="51.0982142857143" style="1" customWidth="1"/>
  </cols>
  <sheetData>
    <row r="1" ht="26.25" customHeight="1" spans="1:11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36</v>
      </c>
      <c r="B2" s="5" t="s">
        <v>15</v>
      </c>
      <c r="C2" s="5" t="s">
        <v>100</v>
      </c>
      <c r="D2" s="5" t="s">
        <v>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ht="30" customHeight="1" spans="1:11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ht="33.45" customHeight="1" spans="1:11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</row>
    <row r="5" ht="31.5" customHeight="1" spans="1:11">
      <c r="A5" s="10" t="s">
        <v>53</v>
      </c>
      <c r="B5" s="11" t="s">
        <v>54</v>
      </c>
      <c r="C5" s="12" t="s">
        <v>261</v>
      </c>
      <c r="D5" s="13" t="s">
        <v>262</v>
      </c>
      <c r="E5" s="14" t="s">
        <v>57</v>
      </c>
      <c r="F5" s="15" t="s">
        <v>58</v>
      </c>
      <c r="G5" s="16">
        <v>10</v>
      </c>
      <c r="H5" s="17"/>
      <c r="I5" s="29">
        <v>10</v>
      </c>
      <c r="J5" s="18">
        <v>10</v>
      </c>
      <c r="K5" s="19"/>
    </row>
    <row r="6" ht="72.75" customHeight="1" spans="1:11">
      <c r="A6" s="20"/>
      <c r="C6" s="21"/>
      <c r="D6" s="21"/>
      <c r="E6" s="22"/>
      <c r="F6" s="20"/>
      <c r="G6" s="21"/>
      <c r="H6" s="21"/>
      <c r="I6" s="21"/>
      <c r="J6" s="21"/>
      <c r="K6" s="23"/>
    </row>
    <row r="7" ht="74.25" customHeight="1" spans="1:11">
      <c r="A7" s="20"/>
      <c r="C7" s="12" t="s">
        <v>263</v>
      </c>
      <c r="D7" s="13" t="s">
        <v>262</v>
      </c>
      <c r="E7" s="22"/>
      <c r="F7" s="20"/>
      <c r="G7" s="24">
        <v>10</v>
      </c>
      <c r="H7" s="25"/>
      <c r="I7" s="26">
        <v>10</v>
      </c>
      <c r="J7" s="27">
        <v>10</v>
      </c>
      <c r="K7" s="23"/>
    </row>
    <row r="8" ht="74.25" customHeight="1" spans="1:11">
      <c r="A8" s="20"/>
      <c r="C8" s="12" t="s">
        <v>264</v>
      </c>
      <c r="D8" s="13" t="s">
        <v>262</v>
      </c>
      <c r="E8" s="22"/>
      <c r="F8" s="20"/>
      <c r="G8" s="24">
        <v>10</v>
      </c>
      <c r="H8" s="25"/>
      <c r="I8" s="26">
        <v>10</v>
      </c>
      <c r="J8" s="27">
        <v>10</v>
      </c>
      <c r="K8" s="23"/>
    </row>
    <row r="9" ht="74.25" customHeight="1" spans="1:11">
      <c r="A9" s="20"/>
      <c r="C9" s="12"/>
      <c r="D9" s="13" t="s">
        <v>262</v>
      </c>
      <c r="E9" s="22"/>
      <c r="F9" s="20"/>
      <c r="G9" s="24"/>
      <c r="H9" s="25"/>
      <c r="I9" s="26"/>
      <c r="J9" s="27"/>
      <c r="K9" s="23"/>
    </row>
    <row r="10" ht="74.25" customHeight="1" spans="1:11">
      <c r="A10" s="20"/>
      <c r="C10" s="12"/>
      <c r="D10" s="13" t="s">
        <v>262</v>
      </c>
      <c r="E10" s="22"/>
      <c r="F10" s="20"/>
      <c r="G10" s="16"/>
      <c r="H10" s="28"/>
      <c r="I10" s="29"/>
      <c r="J10" s="18"/>
      <c r="K10" s="23"/>
    </row>
    <row r="11" ht="74.25" customHeight="1" spans="1:11">
      <c r="A11" s="20"/>
      <c r="B11" s="30" t="s">
        <v>60</v>
      </c>
      <c r="C11" s="35" t="s">
        <v>265</v>
      </c>
      <c r="D11" s="36"/>
      <c r="E11" s="22"/>
      <c r="F11" s="20"/>
      <c r="G11" s="16">
        <v>10</v>
      </c>
      <c r="H11" s="72" t="s">
        <v>266</v>
      </c>
      <c r="I11" s="29">
        <v>10</v>
      </c>
      <c r="J11" s="18">
        <v>10</v>
      </c>
      <c r="K11" s="23"/>
    </row>
    <row r="12" ht="117" customHeight="1" spans="1:11">
      <c r="A12" s="37"/>
      <c r="B12" s="20"/>
      <c r="C12" s="73" t="s">
        <v>267</v>
      </c>
      <c r="D12" s="73"/>
      <c r="E12" s="22"/>
      <c r="F12" s="20"/>
      <c r="G12" s="16">
        <v>10</v>
      </c>
      <c r="H12" s="72" t="s">
        <v>268</v>
      </c>
      <c r="I12" s="29">
        <v>10</v>
      </c>
      <c r="J12" s="18">
        <v>10</v>
      </c>
      <c r="K12" s="23"/>
    </row>
    <row r="13" ht="117" customHeight="1" spans="1:11">
      <c r="A13" s="37"/>
      <c r="B13" s="20"/>
      <c r="C13" s="73"/>
      <c r="D13" s="73"/>
      <c r="E13" s="22"/>
      <c r="F13" s="20"/>
      <c r="G13" s="16"/>
      <c r="H13" s="74"/>
      <c r="I13" s="29"/>
      <c r="J13" s="18"/>
      <c r="K13" s="23"/>
    </row>
    <row r="14" ht="117" customHeight="1" spans="1:11">
      <c r="A14" s="37"/>
      <c r="B14" s="20"/>
      <c r="C14" s="75"/>
      <c r="D14" s="73"/>
      <c r="E14" s="39"/>
      <c r="F14" s="21"/>
      <c r="G14" s="16"/>
      <c r="H14" s="74"/>
      <c r="I14" s="29"/>
      <c r="J14" s="18"/>
      <c r="K14" s="23"/>
    </row>
    <row r="15" ht="117" customHeight="1" spans="1:11">
      <c r="A15" s="9" t="s">
        <v>64</v>
      </c>
      <c r="B15" s="41" t="s">
        <v>65</v>
      </c>
      <c r="C15" s="42" t="s">
        <v>66</v>
      </c>
      <c r="D15" s="42" t="s">
        <v>67</v>
      </c>
      <c r="E15" s="43" t="s">
        <v>57</v>
      </c>
      <c r="F15" s="44" t="s">
        <v>68</v>
      </c>
      <c r="G15" s="16">
        <v>10</v>
      </c>
      <c r="H15" s="76"/>
      <c r="I15" s="29">
        <v>10</v>
      </c>
      <c r="J15" s="18">
        <v>10</v>
      </c>
      <c r="K15" s="23"/>
    </row>
    <row r="16" ht="156.75" customHeight="1" spans="1:11">
      <c r="A16" s="20"/>
      <c r="B16" s="41" t="s">
        <v>69</v>
      </c>
      <c r="C16" s="42" t="s">
        <v>70</v>
      </c>
      <c r="D16" s="42" t="s">
        <v>71</v>
      </c>
      <c r="E16" s="43" t="s">
        <v>57</v>
      </c>
      <c r="F16" s="44" t="s">
        <v>72</v>
      </c>
      <c r="G16" s="16">
        <v>20</v>
      </c>
      <c r="H16" s="13"/>
      <c r="I16" s="16">
        <v>20</v>
      </c>
      <c r="J16" s="18">
        <v>20</v>
      </c>
    </row>
    <row r="17" ht="93" customHeight="1" spans="1:10">
      <c r="A17" s="20"/>
      <c r="B17" s="26" t="s">
        <v>73</v>
      </c>
      <c r="C17" s="46" t="s">
        <v>74</v>
      </c>
      <c r="D17" s="47" t="s">
        <v>75</v>
      </c>
      <c r="E17" s="15" t="s">
        <v>76</v>
      </c>
      <c r="F17" s="48" t="s">
        <v>77</v>
      </c>
      <c r="G17" s="16">
        <v>10</v>
      </c>
      <c r="H17" s="13"/>
      <c r="I17" s="18">
        <v>10</v>
      </c>
      <c r="J17" s="18">
        <v>10</v>
      </c>
    </row>
    <row r="18" ht="76.5" customHeight="1" spans="1:10">
      <c r="A18" s="20"/>
      <c r="B18" s="21"/>
      <c r="C18" s="49" t="s">
        <v>79</v>
      </c>
      <c r="D18" s="50" t="s">
        <v>80</v>
      </c>
      <c r="E18" s="30" t="s">
        <v>81</v>
      </c>
      <c r="F18" s="51" t="s">
        <v>82</v>
      </c>
      <c r="G18" s="16">
        <v>10</v>
      </c>
      <c r="H18" s="13"/>
      <c r="I18" s="18">
        <v>10</v>
      </c>
      <c r="J18" s="18">
        <v>10</v>
      </c>
    </row>
    <row r="19" ht="76.5" customHeight="1" spans="1:10">
      <c r="A19" s="21"/>
      <c r="B19" s="52" t="s">
        <v>84</v>
      </c>
      <c r="C19" s="53" t="s">
        <v>85</v>
      </c>
      <c r="D19" s="54"/>
      <c r="E19" s="55"/>
      <c r="F19" s="56"/>
      <c r="G19" s="57"/>
      <c r="H19" s="13"/>
      <c r="I19" s="18"/>
      <c r="J19" s="18"/>
    </row>
    <row r="20" ht="39" customHeight="1" spans="1:10">
      <c r="A20" s="58" t="s">
        <v>87</v>
      </c>
      <c r="B20" s="59" t="s">
        <v>87</v>
      </c>
      <c r="C20" s="59" t="s">
        <v>88</v>
      </c>
      <c r="D20" s="3"/>
      <c r="E20" s="3"/>
      <c r="F20" s="4"/>
      <c r="G20" s="16"/>
      <c r="H20" s="13"/>
      <c r="I20" s="18"/>
      <c r="J20" s="60"/>
    </row>
    <row r="21" ht="28" customHeight="1" spans="1:10">
      <c r="A21" s="5" t="s">
        <v>89</v>
      </c>
      <c r="B21" s="3"/>
      <c r="C21" s="3"/>
      <c r="D21" s="3"/>
      <c r="E21" s="3"/>
      <c r="F21" s="3"/>
      <c r="G21" s="3"/>
      <c r="H21" s="3"/>
      <c r="I21" s="3"/>
      <c r="J21" s="4"/>
    </row>
    <row r="22" ht="33.45" customHeight="1" spans="1:10">
      <c r="A22" s="7" t="s">
        <v>43</v>
      </c>
      <c r="B22" s="7" t="s">
        <v>44</v>
      </c>
      <c r="C22" s="8" t="s">
        <v>45</v>
      </c>
      <c r="D22" s="8" t="s">
        <v>46</v>
      </c>
      <c r="E22" s="8" t="s">
        <v>47</v>
      </c>
      <c r="F22" s="9" t="s">
        <v>50</v>
      </c>
      <c r="G22" s="3"/>
      <c r="H22" s="4"/>
      <c r="I22" s="9" t="s">
        <v>51</v>
      </c>
      <c r="J22" s="9" t="s">
        <v>52</v>
      </c>
    </row>
    <row r="23" ht="17.15" customHeight="1" spans="1:10">
      <c r="A23" s="61" t="s">
        <v>90</v>
      </c>
      <c r="B23" s="62" t="s">
        <v>91</v>
      </c>
      <c r="C23" s="63" t="s">
        <v>92</v>
      </c>
      <c r="D23" s="4"/>
      <c r="E23" s="64" t="s">
        <v>93</v>
      </c>
      <c r="F23" s="8"/>
      <c r="G23" s="3"/>
      <c r="H23" s="4"/>
      <c r="I23" s="65"/>
      <c r="J23" s="65"/>
    </row>
    <row r="24" ht="29.25" customHeight="1" spans="1:10">
      <c r="A24" s="66"/>
      <c r="B24" s="3"/>
      <c r="C24" s="3"/>
      <c r="D24" s="3"/>
      <c r="E24" s="3"/>
      <c r="F24" s="3"/>
      <c r="G24" s="3"/>
      <c r="H24" s="4"/>
      <c r="I24" s="67">
        <f>SUM(I5:I23)</f>
        <v>100</v>
      </c>
      <c r="J24" s="67">
        <f>SUM(J5:J23)</f>
        <v>100</v>
      </c>
    </row>
    <row r="25" ht="35" customHeight="1" spans="1:10">
      <c r="A25" s="68" t="s">
        <v>94</v>
      </c>
      <c r="B25" s="68" t="s">
        <v>95</v>
      </c>
      <c r="C25" s="68" t="s">
        <v>15</v>
      </c>
      <c r="D25" s="68" t="s">
        <v>96</v>
      </c>
      <c r="E25" s="69"/>
      <c r="F25" s="3"/>
      <c r="G25" s="4"/>
      <c r="H25" s="68" t="s">
        <v>97</v>
      </c>
      <c r="I25" s="70">
        <v>46085</v>
      </c>
      <c r="J25" s="4"/>
    </row>
    <row r="26" ht="35" customHeight="1" spans="1:10">
      <c r="A26" s="68" t="s">
        <v>98</v>
      </c>
      <c r="B26" s="68" t="s">
        <v>95</v>
      </c>
      <c r="C26" s="68" t="s">
        <v>15</v>
      </c>
      <c r="D26" s="68" t="s">
        <v>96</v>
      </c>
      <c r="E26" s="9"/>
      <c r="F26" s="3"/>
      <c r="G26" s="4"/>
      <c r="H26" s="68" t="s">
        <v>97</v>
      </c>
      <c r="I26" s="70">
        <v>46085</v>
      </c>
      <c r="J26" s="4"/>
    </row>
    <row r="27" ht="68" customHeight="1" spans="1:10">
      <c r="A27" s="71" t="s">
        <v>99</v>
      </c>
      <c r="B27" s="3"/>
      <c r="C27" s="3"/>
      <c r="D27" s="3"/>
      <c r="E27" s="3"/>
      <c r="F27" s="3"/>
      <c r="G27" s="3"/>
      <c r="H27" s="3"/>
      <c r="I27" s="3"/>
      <c r="J27" s="4"/>
    </row>
  </sheetData>
  <mergeCells count="27">
    <mergeCell ref="A1:J1"/>
    <mergeCell ref="E2:F2"/>
    <mergeCell ref="A3:J3"/>
    <mergeCell ref="C20:F20"/>
    <mergeCell ref="A21:J21"/>
    <mergeCell ref="F22:H22"/>
    <mergeCell ref="C23:D23"/>
    <mergeCell ref="F23:H23"/>
    <mergeCell ref="A24:H24"/>
    <mergeCell ref="E25:G25"/>
    <mergeCell ref="I25:J25"/>
    <mergeCell ref="E26:G26"/>
    <mergeCell ref="I26:J26"/>
    <mergeCell ref="A27:J27"/>
    <mergeCell ref="A5:A11"/>
    <mergeCell ref="A15:A19"/>
    <mergeCell ref="B5:B10"/>
    <mergeCell ref="B11:B14"/>
    <mergeCell ref="B17:B18"/>
    <mergeCell ref="C5:C6"/>
    <mergeCell ref="D5:D6"/>
    <mergeCell ref="E5:E14"/>
    <mergeCell ref="F5:F14"/>
    <mergeCell ref="G5:G6"/>
    <mergeCell ref="H5:H6"/>
    <mergeCell ref="I5:I6"/>
    <mergeCell ref="J5:J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zoomScale="53" zoomScaleNormal="53" topLeftCell="A8" workbookViewId="0">
      <selection activeCell="J15" sqref="J15"/>
    </sheetView>
  </sheetViews>
  <sheetFormatPr defaultColWidth="9" defaultRowHeight="16.8"/>
  <cols>
    <col min="1" max="1" width="19.75" style="1" customWidth="1"/>
    <col min="2" max="2" width="44.5178571428571" style="1" customWidth="1"/>
    <col min="3" max="3" width="40.7589285714286" style="1" customWidth="1"/>
    <col min="4" max="4" width="84.6785714285714" style="1" customWidth="1"/>
    <col min="5" max="5" width="15.7678571428571" style="1" customWidth="1"/>
    <col min="6" max="6" width="32.625" style="1" customWidth="1"/>
    <col min="7" max="7" width="13.2678571428571" style="1" customWidth="1"/>
    <col min="8" max="8" width="20.125" style="1" customWidth="1"/>
    <col min="9" max="9" width="18.2767857142857" style="1" customWidth="1"/>
    <col min="10" max="10" width="79.5446428571429" style="1" customWidth="1"/>
    <col min="11" max="11" width="51.1071428571429" style="1" customWidth="1"/>
    <col min="12" max="12" width="9" style="1" customWidth="1"/>
    <col min="13" max="16" width="13" style="1" customWidth="1"/>
  </cols>
  <sheetData>
    <row r="1" ht="26.25" customHeight="1" spans="1:16">
      <c r="A1" s="2" t="s">
        <v>35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6">
      <c r="A2" s="5" t="s">
        <v>36</v>
      </c>
      <c r="B2" s="5" t="s">
        <v>16</v>
      </c>
      <c r="C2" s="5" t="s">
        <v>100</v>
      </c>
      <c r="D2" s="5" t="s">
        <v>9</v>
      </c>
      <c r="E2" s="5"/>
      <c r="F2" s="4"/>
      <c r="G2" s="5" t="s">
        <v>38</v>
      </c>
      <c r="H2" s="5" t="s">
        <v>39</v>
      </c>
      <c r="I2" s="5" t="s">
        <v>40</v>
      </c>
      <c r="J2" s="6" t="s">
        <v>41</v>
      </c>
    </row>
    <row r="3" ht="30" customHeight="1" spans="1:16">
      <c r="A3" s="5" t="s">
        <v>42</v>
      </c>
      <c r="B3" s="3"/>
      <c r="C3" s="3"/>
      <c r="D3" s="3"/>
      <c r="E3" s="3"/>
      <c r="F3" s="3"/>
      <c r="G3" s="3"/>
      <c r="H3" s="3"/>
      <c r="I3" s="3"/>
      <c r="J3" s="4"/>
    </row>
    <row r="4" ht="33.45" customHeight="1" spans="1:16">
      <c r="A4" s="7" t="s">
        <v>43</v>
      </c>
      <c r="B4" s="7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7" t="s">
        <v>49</v>
      </c>
      <c r="H4" s="9" t="s">
        <v>50</v>
      </c>
      <c r="I4" s="9" t="s">
        <v>51</v>
      </c>
      <c r="J4" s="9" t="s">
        <v>52</v>
      </c>
    </row>
    <row r="5" ht="31.5" customHeight="1" spans="1:16">
      <c r="A5" s="10" t="s">
        <v>53</v>
      </c>
      <c r="B5" s="11" t="s">
        <v>54</v>
      </c>
      <c r="C5" s="12" t="s">
        <v>269</v>
      </c>
      <c r="D5" s="13" t="s">
        <v>262</v>
      </c>
      <c r="E5" s="14" t="s">
        <v>270</v>
      </c>
      <c r="F5" s="15" t="s">
        <v>58</v>
      </c>
      <c r="G5" s="16">
        <v>6</v>
      </c>
      <c r="H5" s="17"/>
      <c r="I5" s="16">
        <v>6</v>
      </c>
      <c r="J5" s="18">
        <v>5</v>
      </c>
      <c r="K5" s="19"/>
    </row>
    <row r="6" ht="72.75" customHeight="1" spans="1:16">
      <c r="A6" s="20"/>
      <c r="C6" s="21"/>
      <c r="D6" s="21"/>
      <c r="E6" s="22"/>
      <c r="F6" s="20"/>
      <c r="G6" s="21"/>
      <c r="H6" s="21"/>
      <c r="I6" s="21"/>
      <c r="J6" s="21"/>
      <c r="K6" s="23"/>
    </row>
    <row r="7" ht="74.25" customHeight="1" spans="1:16">
      <c r="A7" s="20"/>
      <c r="C7" s="12" t="s">
        <v>271</v>
      </c>
      <c r="D7" s="13" t="s">
        <v>262</v>
      </c>
      <c r="E7" s="22"/>
      <c r="F7" s="20"/>
      <c r="G7" s="24">
        <v>6</v>
      </c>
      <c r="H7" s="25"/>
      <c r="I7" s="26">
        <v>6</v>
      </c>
      <c r="J7" s="27">
        <v>6</v>
      </c>
      <c r="K7" s="23"/>
    </row>
    <row r="8" ht="74.25" customHeight="1" spans="1:16">
      <c r="A8" s="20"/>
      <c r="C8" s="12" t="s">
        <v>272</v>
      </c>
      <c r="D8" s="13" t="s">
        <v>262</v>
      </c>
      <c r="E8" s="22"/>
      <c r="F8" s="20"/>
      <c r="G8" s="16">
        <v>6</v>
      </c>
      <c r="H8" s="28"/>
      <c r="I8" s="29">
        <v>6</v>
      </c>
      <c r="J8" s="18">
        <v>6</v>
      </c>
      <c r="K8" s="23"/>
    </row>
    <row r="9" ht="74.25" customHeight="1" spans="1:16">
      <c r="A9" s="20"/>
      <c r="C9" s="30" t="s">
        <v>273</v>
      </c>
      <c r="D9" s="31" t="s">
        <v>262</v>
      </c>
      <c r="E9" s="22"/>
      <c r="F9" s="20"/>
      <c r="G9" s="32">
        <v>6</v>
      </c>
      <c r="H9" s="28"/>
      <c r="I9" s="29">
        <v>6</v>
      </c>
      <c r="J9" s="18">
        <v>6</v>
      </c>
      <c r="K9" s="23"/>
    </row>
    <row r="10" ht="74.25" customHeight="1" spans="1:16">
      <c r="A10" s="20"/>
      <c r="C10" s="30" t="s">
        <v>274</v>
      </c>
      <c r="D10" s="31" t="s">
        <v>262</v>
      </c>
      <c r="E10" s="22"/>
      <c r="F10" s="20"/>
      <c r="G10" s="32">
        <v>6</v>
      </c>
      <c r="H10" s="33"/>
      <c r="I10" s="34">
        <v>6</v>
      </c>
      <c r="J10" s="18">
        <v>6</v>
      </c>
      <c r="K10" s="23"/>
    </row>
    <row r="11" ht="74.25" customHeight="1" spans="1:16">
      <c r="A11" s="20"/>
      <c r="B11" s="30" t="s">
        <v>60</v>
      </c>
      <c r="C11" s="35" t="s">
        <v>275</v>
      </c>
      <c r="D11" s="36" t="s">
        <v>154</v>
      </c>
      <c r="E11" s="22"/>
      <c r="F11" s="20"/>
      <c r="G11" s="16">
        <v>20</v>
      </c>
      <c r="H11" s="28"/>
      <c r="I11" s="29">
        <v>20</v>
      </c>
      <c r="J11" s="18">
        <v>20</v>
      </c>
      <c r="K11" s="23"/>
    </row>
    <row r="12" ht="117" customHeight="1" spans="1:16">
      <c r="A12" s="37"/>
      <c r="B12" s="20"/>
      <c r="C12" s="38"/>
      <c r="D12" s="38"/>
      <c r="E12" s="39"/>
      <c r="F12" s="21"/>
      <c r="G12" s="21"/>
      <c r="H12" s="21"/>
      <c r="I12" s="21"/>
      <c r="J12" s="21"/>
      <c r="K12" s="23"/>
      <c r="P12" s="40" t="s">
        <v>270</v>
      </c>
    </row>
    <row r="13" ht="117" customHeight="1" spans="1:16">
      <c r="A13" s="9" t="s">
        <v>64</v>
      </c>
      <c r="B13" s="41" t="s">
        <v>65</v>
      </c>
      <c r="C13" s="42" t="s">
        <v>66</v>
      </c>
      <c r="D13" s="42" t="s">
        <v>67</v>
      </c>
      <c r="E13" s="43" t="s">
        <v>57</v>
      </c>
      <c r="F13" s="44" t="s">
        <v>68</v>
      </c>
      <c r="G13" s="16">
        <v>10</v>
      </c>
      <c r="H13" s="45" t="s">
        <v>276</v>
      </c>
      <c r="I13" s="29">
        <v>10</v>
      </c>
      <c r="J13" s="18">
        <v>10</v>
      </c>
      <c r="K13" s="23"/>
    </row>
    <row r="14" ht="156.75" customHeight="1" spans="1:16">
      <c r="A14" s="20"/>
      <c r="B14" s="41" t="s">
        <v>69</v>
      </c>
      <c r="C14" s="42" t="s">
        <v>70</v>
      </c>
      <c r="D14" s="42" t="s">
        <v>71</v>
      </c>
      <c r="E14" s="43" t="s">
        <v>57</v>
      </c>
      <c r="F14" s="44" t="s">
        <v>72</v>
      </c>
      <c r="G14" s="16">
        <v>20</v>
      </c>
      <c r="H14" s="13"/>
      <c r="I14" s="16">
        <v>20</v>
      </c>
      <c r="J14" s="18">
        <v>20</v>
      </c>
    </row>
    <row r="15" ht="93" customHeight="1" spans="1:16">
      <c r="A15" s="20"/>
      <c r="B15" s="26" t="s">
        <v>73</v>
      </c>
      <c r="C15" s="46" t="s">
        <v>74</v>
      </c>
      <c r="D15" s="47" t="s">
        <v>75</v>
      </c>
      <c r="E15" s="15" t="s">
        <v>76</v>
      </c>
      <c r="F15" s="48" t="s">
        <v>77</v>
      </c>
      <c r="G15" s="16">
        <v>10</v>
      </c>
      <c r="H15" s="13"/>
      <c r="I15" s="18">
        <v>8</v>
      </c>
      <c r="J15" s="18">
        <v>8</v>
      </c>
    </row>
    <row r="16" ht="76.5" customHeight="1" spans="1:16">
      <c r="A16" s="20"/>
      <c r="B16" s="21"/>
      <c r="C16" s="49" t="s">
        <v>79</v>
      </c>
      <c r="D16" s="50" t="s">
        <v>80</v>
      </c>
      <c r="E16" s="30" t="s">
        <v>81</v>
      </c>
      <c r="F16" s="51" t="s">
        <v>82</v>
      </c>
      <c r="G16" s="16">
        <v>10</v>
      </c>
      <c r="H16" s="13"/>
      <c r="I16" s="18">
        <v>10</v>
      </c>
      <c r="J16" s="18">
        <v>8</v>
      </c>
    </row>
    <row r="17" ht="76.5" customHeight="1" spans="1:10">
      <c r="A17" s="21"/>
      <c r="B17" s="52" t="s">
        <v>84</v>
      </c>
      <c r="C17" s="53" t="s">
        <v>85</v>
      </c>
      <c r="D17" s="54"/>
      <c r="E17" s="55"/>
      <c r="F17" s="56"/>
      <c r="G17" s="57"/>
      <c r="H17" s="13"/>
      <c r="I17" s="18"/>
      <c r="J17" s="18"/>
    </row>
    <row r="18" ht="39" customHeight="1" spans="1:10">
      <c r="A18" s="58" t="s">
        <v>87</v>
      </c>
      <c r="B18" s="59" t="s">
        <v>87</v>
      </c>
      <c r="C18" s="59" t="s">
        <v>88</v>
      </c>
      <c r="D18" s="3"/>
      <c r="E18" s="3"/>
      <c r="F18" s="4"/>
      <c r="G18" s="16"/>
      <c r="H18" s="13"/>
      <c r="I18" s="18"/>
      <c r="J18" s="60"/>
    </row>
    <row r="19" ht="28" customHeight="1" spans="1:10">
      <c r="A19" s="5" t="s">
        <v>89</v>
      </c>
      <c r="B19" s="3"/>
      <c r="C19" s="3"/>
      <c r="D19" s="3"/>
      <c r="E19" s="3"/>
      <c r="F19" s="3"/>
      <c r="G19" s="3"/>
      <c r="H19" s="3"/>
      <c r="I19" s="3"/>
      <c r="J19" s="4"/>
    </row>
    <row r="20" ht="33.45" customHeight="1" spans="1:10">
      <c r="A20" s="7" t="s">
        <v>43</v>
      </c>
      <c r="B20" s="7" t="s">
        <v>44</v>
      </c>
      <c r="C20" s="8" t="s">
        <v>45</v>
      </c>
      <c r="D20" s="8" t="s">
        <v>46</v>
      </c>
      <c r="E20" s="8" t="s">
        <v>47</v>
      </c>
      <c r="F20" s="9" t="s">
        <v>50</v>
      </c>
      <c r="G20" s="3"/>
      <c r="H20" s="4"/>
      <c r="I20" s="9" t="s">
        <v>51</v>
      </c>
      <c r="J20" s="9" t="s">
        <v>52</v>
      </c>
    </row>
    <row r="21" ht="17.15" customHeight="1" spans="1:10">
      <c r="A21" s="61" t="s">
        <v>90</v>
      </c>
      <c r="B21" s="62" t="s">
        <v>91</v>
      </c>
      <c r="C21" s="63" t="s">
        <v>92</v>
      </c>
      <c r="D21" s="4"/>
      <c r="E21" s="64" t="s">
        <v>93</v>
      </c>
      <c r="F21" s="8"/>
      <c r="G21" s="3"/>
      <c r="H21" s="4"/>
      <c r="I21" s="65"/>
      <c r="J21" s="65"/>
    </row>
    <row r="22" ht="29.25" customHeight="1" spans="1:10">
      <c r="A22" s="66"/>
      <c r="B22" s="3"/>
      <c r="C22" s="3"/>
      <c r="D22" s="3"/>
      <c r="E22" s="3"/>
      <c r="F22" s="3"/>
      <c r="G22" s="3"/>
      <c r="H22" s="4"/>
      <c r="I22" s="67">
        <f>SUM(I5:I21)</f>
        <v>98</v>
      </c>
      <c r="J22" s="67">
        <f>SUM(J5:J21)</f>
        <v>95</v>
      </c>
    </row>
    <row r="23" ht="35" customHeight="1" spans="1:10">
      <c r="A23" s="68" t="s">
        <v>94</v>
      </c>
      <c r="B23" s="68" t="s">
        <v>95</v>
      </c>
      <c r="C23" s="68" t="s">
        <v>16</v>
      </c>
      <c r="D23" s="68" t="s">
        <v>96</v>
      </c>
      <c r="E23" s="69"/>
      <c r="F23" s="3"/>
      <c r="G23" s="4"/>
      <c r="H23" s="68" t="s">
        <v>97</v>
      </c>
      <c r="I23" s="70">
        <v>46085</v>
      </c>
      <c r="J23" s="4"/>
    </row>
    <row r="24" ht="35" customHeight="1" spans="1:10">
      <c r="A24" s="68" t="s">
        <v>98</v>
      </c>
      <c r="B24" s="68" t="s">
        <v>95</v>
      </c>
      <c r="C24" s="68" t="s">
        <v>16</v>
      </c>
      <c r="D24" s="68" t="s">
        <v>96</v>
      </c>
      <c r="E24" s="9"/>
      <c r="F24" s="3"/>
      <c r="G24" s="4"/>
      <c r="H24" s="68" t="s">
        <v>97</v>
      </c>
      <c r="I24" s="70">
        <v>46085</v>
      </c>
      <c r="J24" s="4"/>
    </row>
    <row r="25" ht="68" customHeight="1" spans="1:10">
      <c r="A25" s="71" t="s">
        <v>99</v>
      </c>
      <c r="B25" s="3"/>
      <c r="C25" s="3"/>
      <c r="D25" s="3"/>
      <c r="E25" s="3"/>
      <c r="F25" s="3"/>
      <c r="G25" s="3"/>
      <c r="H25" s="3"/>
      <c r="I25" s="3"/>
      <c r="J25" s="4"/>
    </row>
  </sheetData>
  <mergeCells count="33">
    <mergeCell ref="A1:J1"/>
    <mergeCell ref="E2:F2"/>
    <mergeCell ref="A3:J3"/>
    <mergeCell ref="C18:F18"/>
    <mergeCell ref="A19:J19"/>
    <mergeCell ref="F20:H20"/>
    <mergeCell ref="C21:D21"/>
    <mergeCell ref="F21:H21"/>
    <mergeCell ref="A22:H22"/>
    <mergeCell ref="E23:G23"/>
    <mergeCell ref="I23:J23"/>
    <mergeCell ref="E24:G24"/>
    <mergeCell ref="I24:J24"/>
    <mergeCell ref="A25:J25"/>
    <mergeCell ref="A5:A11"/>
    <mergeCell ref="A13:A17"/>
    <mergeCell ref="B5:B10"/>
    <mergeCell ref="B11:B12"/>
    <mergeCell ref="B15:B16"/>
    <mergeCell ref="C5:C6"/>
    <mergeCell ref="C11:C12"/>
    <mergeCell ref="D5:D6"/>
    <mergeCell ref="D11:D12"/>
    <mergeCell ref="E5:E12"/>
    <mergeCell ref="F5:F12"/>
    <mergeCell ref="G5:G6"/>
    <mergeCell ref="G11:G12"/>
    <mergeCell ref="H5:H6"/>
    <mergeCell ref="H11:H12"/>
    <mergeCell ref="I5:I6"/>
    <mergeCell ref="I11:I12"/>
    <mergeCell ref="J5:J6"/>
    <mergeCell ref="J11:J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汇总</vt:lpstr>
      <vt:lpstr>吴铝</vt:lpstr>
      <vt:lpstr>文武</vt:lpstr>
      <vt:lpstr>陈方杰</vt:lpstr>
      <vt:lpstr>李金涛</vt:lpstr>
      <vt:lpstr>刘子昱</vt:lpstr>
      <vt:lpstr>戴婕妤</vt:lpstr>
      <vt:lpstr>熊思</vt:lpstr>
      <vt:lpstr>曹振辉</vt:lpstr>
      <vt:lpstr>方乐</vt:lpstr>
      <vt:lpstr>汤显文</vt:lpstr>
      <vt:lpstr>刘奕君</vt:lpstr>
      <vt:lpstr>周树梧</vt:lpstr>
      <vt:lpstr>唐尧</vt:lpstr>
      <vt:lpstr>陈铁梁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snailgo</dc:creator>
  <cp:lastModifiedBy>salex</cp:lastModifiedBy>
  <dcterms:created xsi:type="dcterms:W3CDTF">2025-12-06T20:59:00Z</dcterms:created>
  <dcterms:modified xsi:type="dcterms:W3CDTF">2026-03-04T22:40:36Z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7F573B045C00841518343069DBC4FEB3_41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