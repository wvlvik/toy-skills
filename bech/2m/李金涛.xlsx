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9300"/>
  </bookViews>
  <sheets>
    <sheet name="李金涛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<sst xmlns="http://schemas.openxmlformats.org/spreadsheetml/2006/main" count="116" uniqueCount="69">
  <si>
    <t>12月绩效考核表</t>
  </si>
  <si>
    <t>姓名:</t>
  </si>
  <si>
    <t>李金涛</t>
  </si>
  <si>
    <t>部门:</t>
  </si>
  <si>
    <t>开发部</t>
  </si>
  <si>
    <t>岗位：</t>
  </si>
  <si>
    <t>开发</t>
  </si>
  <si>
    <t>考核周期 ：</t>
  </si>
  <si>
    <t>2026.2.1-2025.2.28</t>
  </si>
  <si>
    <t>一、业务管理（100分）</t>
  </si>
  <si>
    <t>维度</t>
  </si>
  <si>
    <t>指标</t>
  </si>
  <si>
    <r>
      <rPr>
        <b/>
        <sz val="12"/>
        <color rgb="FF000000"/>
        <rFont val="微软雅黑"/>
        <charset val="134"/>
      </rPr>
      <t xml:space="preserve">指标说明
</t>
    </r>
    <r>
      <rPr>
        <sz val="12"/>
        <color rgb="FF000000"/>
        <rFont val="微软雅黑"/>
        <charset val="134"/>
      </rPr>
      <t>（指标含义、计算公式或说明）</t>
    </r>
  </si>
  <si>
    <t>目标要求</t>
  </si>
  <si>
    <t>考核依据</t>
  </si>
  <si>
    <t>评分等级</t>
  </si>
  <si>
    <t>分值</t>
  </si>
  <si>
    <t>实际完成情况</t>
  </si>
  <si>
    <t>自评分</t>
  </si>
  <si>
    <t>上级评分</t>
  </si>
  <si>
    <t>产品规划(40分)</t>
  </si>
  <si>
    <t>【定开】有赞零售订单的发货、售后</t>
  </si>
  <si>
    <t>在规定版本上线，且无严重问题</t>
  </si>
  <si>
    <t>未完成视情况扣0-5分</t>
  </si>
  <si>
    <t>完成</t>
  </si>
  <si>
    <t>现金券叠加张数、适用商品</t>
  </si>
  <si>
    <t>【2月5日】【小贝优选】新增门店｜店员数据统计</t>
  </si>
  <si>
    <t>【锦诺专项】门店老板入驻签约+契约锁优化+企业工商信息对接</t>
  </si>
  <si>
    <t>【定开】换货仅允许以低换高</t>
  </si>
  <si>
    <t>v10.12.4-组合商品前后端分离</t>
  </si>
  <si>
    <t>门店业绩：新增按资金时间统计（deadline：2月7日）</t>
  </si>
  <si>
    <t>【老王之家】商品定金预售支持直播间场景；定金预售商品支持门店提货单、采购单的业务</t>
  </si>
  <si>
    <t>技术任务(10分)</t>
  </si>
  <si>
    <t>web 项目引入AI审查，在项目提交先AI校验</t>
  </si>
  <si>
    <t>过程指标(50分)</t>
  </si>
  <si>
    <t>开发规范</t>
  </si>
  <si>
    <t>按照设计要求输出设计文档</t>
  </si>
  <si>
    <t>1、涉及到影响流程的需求需要编写技术方案。 
2、需求、技术任务超过30工时，需要找架构师确认实现方案。
3、流程图。</t>
  </si>
  <si>
    <t>研发中心</t>
  </si>
  <si>
    <t>未作1次：扣2分/次；
未作2次：扣5分/次；
未作3次：扣10分/次；
加2-5分（周期）。</t>
  </si>
  <si>
    <t>外部投诉</t>
  </si>
  <si>
    <t>线上问题响应处理效率</t>
  </si>
  <si>
    <t>1、致命类问题：
5分钟内做出响应，20分钟内出解决方案，1小时内解决问题。
2、严重类问题：
工作时间:
10分钟内做出响应，1小时内出解决方案，2小时内解决问题。
非工作时间：
30分钟内做出响应，2小时内出解决方案，4小时内解决问题。
3、一般类问题：
工作时间：
20分钟内做出响应，2小时内出解决方案，24小时内解决问题。
非工作时间：
1小时内做出响应，12小时内出解决方案，24小时内解决问题。</t>
  </si>
  <si>
    <t>1.致命问题未按规定及时响应不得分
2.严重问题未按规定时间及时响应每个扣5分
3.一般问题未按规定时间及时响应每个扣2-3分</t>
  </si>
  <si>
    <t>质量要求</t>
  </si>
  <si>
    <t>生产质量</t>
  </si>
  <si>
    <t>无一般问题，严重问题，致命问题。</t>
  </si>
  <si>
    <t>测试报告
研发部\客成部</t>
  </si>
  <si>
    <t>一般问题：3个及以上，扣5分，每增加1个增扣1分；
严重问题：视情节每个扣3分- 5分；
致命问题：视情节每个扣5分-10分，
致命问题有一票否决权，视情况当月绩效直接为0分；
当月线上环境无一般及以上问题视情况加2分-5分。</t>
  </si>
  <si>
    <t>测试质量，团队提测需求的测试质量分</t>
  </si>
  <si>
    <t>自测，零Bug，得满分。</t>
  </si>
  <si>
    <t>测试部</t>
  </si>
  <si>
    <t>1、提测后影响测试流程者，每处扣3分。
2、提测后被打回，每次5分。
任务周期内零Bug，加2-5（周期）。</t>
  </si>
  <si>
    <t>关键指标</t>
  </si>
  <si>
    <t>如：培训、代码评审、关键技术事项</t>
  </si>
  <si>
    <t>加分项</t>
  </si>
  <si>
    <t>对公司/部门/员工有重大突出贡献/优良影响对事例可酌情加5-15分(包含历史顽固问题解决、创新项目、主动承担等)</t>
  </si>
  <si>
    <t>二、价值观</t>
  </si>
  <si>
    <t>红线</t>
  </si>
  <si>
    <t>职业素养</t>
  </si>
  <si>
    <t>1、辱骂、诋毁、诽谤、造谣同事/公司，给同事/公司造成负面影响的
2、在公司拉帮结派，造成不良风气，被2人及以上举报证实的
3、威胁恐吓同事，被举报证实的
4、带情绪工作（含抱怨公司/上司）
5、推诿责任，不服从上级安排的工作
6、若员工有以上5项中任意一条及其他一切违背公司价值观及公序良俗的行为，一经发现，立即开除</t>
  </si>
  <si>
    <t>人事行政部</t>
  </si>
  <si>
    <t>考核指标签字确认栏</t>
  </si>
  <si>
    <t>被考核者签字：</t>
  </si>
  <si>
    <t>上级签字：</t>
  </si>
  <si>
    <t>时间：</t>
  </si>
  <si>
    <t>考核结果签字确认栏</t>
  </si>
  <si>
    <t>说明：
1、每个月末28号前部门负责人须与员工沟通制定次月绩效考核，双方签字后于次月3号前反馈签字版绩效考核方案至人事行政部存档备案，作为绩效考核依据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</si>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</sst>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0"/>
      <color theme="1"/>
      <name val="等线"/>
      <charset val="134"/>
      <scheme val="minor"/>
    </font>
    <font>
      <b/>
      <sz val="14"/>
      <name val="等线"/>
      <charset val="134"/>
      <scheme val="minor"/>
    </font>
    <font>
      <b/>
      <sz val="12"/>
      <name val="等线"/>
      <charset val="134"/>
      <scheme val="minor"/>
    </font>
    <font>
      <sz val="12"/>
      <name val="等线"/>
      <charset val="134"/>
      <scheme val="minor"/>
    </font>
    <font>
      <b/>
      <sz val="12"/>
      <color rgb="FFFF0000"/>
      <name val="等线"/>
      <charset val="134"/>
      <scheme val="minor"/>
    </font>
    <font>
      <sz val="12"/>
      <color rgb="FFFF0000"/>
      <name val="等线"/>
      <charset val="134"/>
      <scheme val="minor"/>
    </font>
    <font>
      <sz val="12"/>
      <name val="宋体"/>
      <charset val="134"/>
    </font>
    <font>
      <b/>
      <u/>
      <sz val="12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2"/>
      <color rgb="FF000000"/>
      <name val="微软雅黑"/>
      <charset val="134"/>
    </font>
    <font>
      <sz val="12"/>
      <color rgb="FF000000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3" borderId="8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11" applyNumberFormat="0" applyAlignment="0" applyProtection="0">
      <alignment vertical="center"/>
    </xf>
    <xf numFmtId="0" fontId="18" fillId="5" borderId="12" applyNumberFormat="0" applyAlignment="0" applyProtection="0">
      <alignment vertical="center"/>
    </xf>
    <xf numFmtId="0" fontId="19" fillId="5" borderId="11" applyNumberFormat="0" applyAlignment="0" applyProtection="0">
      <alignment vertical="center"/>
    </xf>
    <xf numFmtId="0" fontId="20" fillId="6" borderId="13" applyNumberFormat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2" xfId="0" applyBorder="1">
      <alignment vertical="center"/>
    </xf>
    <xf numFmtId="0" fontId="3" fillId="0" borderId="2" xfId="0" applyFont="1" applyBorder="1" applyAlignment="1">
      <alignment vertical="center" wrapText="1"/>
    </xf>
    <xf numFmtId="0" fontId="3" fillId="0" borderId="2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0" fillId="0" borderId="4" xfId="0" applyBorder="1">
      <alignment vertical="center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vertical="center" wrapText="1"/>
    </xf>
    <xf numFmtId="0" fontId="0" fillId="0" borderId="5" xfId="0" applyBorder="1">
      <alignment vertical="center"/>
    </xf>
    <xf numFmtId="0" fontId="3" fillId="0" borderId="4" xfId="0" applyFont="1" applyBorder="1" applyAlignment="1">
      <alignment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4" xfId="0" applyFont="1" applyBorder="1" applyAlignment="1">
      <alignment horizontal="right" vertical="center" wrapText="1"/>
    </xf>
    <xf numFmtId="0" fontId="4" fillId="0" borderId="6" xfId="0" applyFont="1" applyBorder="1" applyAlignment="1">
      <alignment horizontal="right" vertical="center" wrapText="1"/>
    </xf>
    <xf numFmtId="0" fontId="2" fillId="2" borderId="4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vertical="center"/>
    </xf>
    <xf numFmtId="0" fontId="6" fillId="0" borderId="1" xfId="0" applyFont="1" applyBorder="1">
      <alignment vertical="center"/>
    </xf>
    <xf numFmtId="0" fontId="3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9" fontId="3" fillId="2" borderId="1" xfId="0" applyNumberFormat="1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right" vertical="center" wrapText="1"/>
    </xf>
    <xf numFmtId="0" fontId="3" fillId="2" borderId="1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7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2" borderId="7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陈方杰"/>
  <dimension ref="A1:Z31"/>
  <sheetViews>
    <sheetView tabSelected="1" zoomScale="145" zoomScaleNormal="145" topLeftCell="C16" workbookViewId="0">
      <selection activeCell="J17" sqref="J17"/>
    </sheetView>
  </sheetViews>
  <sheetFormatPr defaultColWidth="10.3653846153846" defaultRowHeight="14.4"/>
  <cols>
    <col min="1" max="1" width="20.7307692307692" customWidth="1"/>
    <col min="2" max="2" width="21.1826923076923" customWidth="1"/>
    <col min="3" max="3" width="49.2692307692308" customWidth="1"/>
    <col min="4" max="4" width="52.7307692307692" customWidth="1"/>
    <col min="6" max="6" width="37.0865384615385" customWidth="1"/>
    <col min="10" max="10" width="21.7307692307692" customWidth="1"/>
  </cols>
  <sheetData>
    <row r="1" ht="26.25" customHeight="1" spans="1:26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 ht="32.25" customHeight="1" spans="1:26">
      <c r="A2" s="3" t="s">
        <v>1</v>
      </c>
      <c r="B2" s="3" t="s">
        <v>2</v>
      </c>
      <c r="C2" s="3" t="s">
        <v>3</v>
      </c>
      <c r="D2" s="3" t="s">
        <v>4</v>
      </c>
      <c r="E2" s="3"/>
      <c r="F2" s="2"/>
      <c r="G2" s="3" t="s">
        <v>5</v>
      </c>
      <c r="H2" s="3" t="s">
        <v>6</v>
      </c>
      <c r="I2" s="3" t="s">
        <v>7</v>
      </c>
      <c r="J2" s="40" t="s">
        <v>8</v>
      </c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</row>
    <row r="3" ht="30" customHeight="1" spans="1:26">
      <c r="A3" s="3" t="s">
        <v>9</v>
      </c>
      <c r="B3" s="2"/>
      <c r="C3" s="2"/>
      <c r="D3" s="2"/>
      <c r="E3" s="2"/>
      <c r="F3" s="2"/>
      <c r="G3" s="2"/>
      <c r="H3" s="2"/>
      <c r="I3" s="2"/>
      <c r="J3" s="2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</row>
    <row r="4" ht="36" spans="1:26">
      <c r="A4" s="3" t="s">
        <v>10</v>
      </c>
      <c r="B4" s="3" t="s">
        <v>11</v>
      </c>
      <c r="C4" s="4" t="s">
        <v>12</v>
      </c>
      <c r="D4" s="5" t="s">
        <v>13</v>
      </c>
      <c r="E4" s="5" t="s">
        <v>14</v>
      </c>
      <c r="F4" s="5" t="s">
        <v>15</v>
      </c>
      <c r="G4" s="3" t="s">
        <v>16</v>
      </c>
      <c r="H4" s="5" t="s">
        <v>17</v>
      </c>
      <c r="I4" s="5" t="s">
        <v>18</v>
      </c>
      <c r="J4" s="5" t="s">
        <v>19</v>
      </c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 ht="72.75" customHeight="1" spans="1:26">
      <c r="A5" s="6" t="s">
        <v>20</v>
      </c>
      <c r="B5" s="7" t="s">
        <v>20</v>
      </c>
      <c r="C5" s="7" t="s">
        <v>21</v>
      </c>
      <c r="D5" s="8" t="s">
        <v>22</v>
      </c>
      <c r="E5" s="30" t="s">
        <v>22</v>
      </c>
      <c r="F5" s="14" t="s">
        <v>23</v>
      </c>
      <c r="G5" s="31">
        <v>5</v>
      </c>
      <c r="H5" s="32" t="s">
        <v>24</v>
      </c>
      <c r="I5" s="31">
        <v>5</v>
      </c>
      <c r="J5" s="31">
        <v>5</v>
      </c>
      <c r="K5" s="42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</row>
    <row r="6" ht="72.75" customHeight="1" spans="1:26">
      <c r="A6" s="9"/>
      <c r="B6" s="10"/>
      <c r="C6" s="8" t="s">
        <v>25</v>
      </c>
      <c r="D6" s="8" t="s">
        <v>22</v>
      </c>
      <c r="E6" s="30" t="s">
        <v>22</v>
      </c>
      <c r="F6" s="14" t="s">
        <v>23</v>
      </c>
      <c r="G6" s="31">
        <v>5</v>
      </c>
      <c r="H6" s="32" t="s">
        <v>24</v>
      </c>
      <c r="I6" s="31">
        <v>5</v>
      </c>
      <c r="J6" s="31">
        <v>5</v>
      </c>
      <c r="K6" s="42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</row>
    <row r="7" ht="72.75" customHeight="1" spans="1:26">
      <c r="A7" s="9"/>
      <c r="B7" s="10"/>
      <c r="C7" s="8" t="s">
        <v>26</v>
      </c>
      <c r="D7" s="8" t="s">
        <v>22</v>
      </c>
      <c r="E7" s="30" t="s">
        <v>22</v>
      </c>
      <c r="F7" s="14" t="s">
        <v>23</v>
      </c>
      <c r="G7" s="31">
        <v>5</v>
      </c>
      <c r="H7" s="32" t="s">
        <v>24</v>
      </c>
      <c r="I7" s="31">
        <v>5</v>
      </c>
      <c r="J7" s="31">
        <v>5</v>
      </c>
      <c r="K7" s="42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</row>
    <row r="8" ht="72.75" customHeight="1" spans="1:26">
      <c r="A8" s="9"/>
      <c r="B8" s="10"/>
      <c r="C8" s="8" t="s">
        <v>27</v>
      </c>
      <c r="D8" s="8" t="s">
        <v>22</v>
      </c>
      <c r="E8" s="30" t="s">
        <v>22</v>
      </c>
      <c r="F8" s="14" t="s">
        <v>23</v>
      </c>
      <c r="G8" s="31">
        <v>5</v>
      </c>
      <c r="H8" s="32" t="s">
        <v>24</v>
      </c>
      <c r="I8" s="31">
        <v>5</v>
      </c>
      <c r="J8" s="31">
        <v>5</v>
      </c>
      <c r="K8" s="42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</row>
    <row r="9" ht="72.75" customHeight="1" spans="1:26">
      <c r="A9" s="9"/>
      <c r="B9" s="10"/>
      <c r="C9" s="8" t="s">
        <v>28</v>
      </c>
      <c r="D9" s="8" t="s">
        <v>22</v>
      </c>
      <c r="E9" s="30" t="s">
        <v>22</v>
      </c>
      <c r="F9" s="14" t="s">
        <v>23</v>
      </c>
      <c r="G9" s="31">
        <v>5</v>
      </c>
      <c r="H9" s="32" t="s">
        <v>24</v>
      </c>
      <c r="I9" s="31">
        <v>5</v>
      </c>
      <c r="J9" s="31">
        <v>5</v>
      </c>
      <c r="K9" s="42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</row>
    <row r="10" ht="74.25" customHeight="1" spans="1:26">
      <c r="A10" s="6"/>
      <c r="B10" s="10"/>
      <c r="C10" s="8" t="s">
        <v>29</v>
      </c>
      <c r="D10" s="8" t="s">
        <v>22</v>
      </c>
      <c r="E10" s="30" t="s">
        <v>22</v>
      </c>
      <c r="F10" s="14" t="s">
        <v>23</v>
      </c>
      <c r="G10" s="31">
        <v>5</v>
      </c>
      <c r="H10" s="32" t="s">
        <v>24</v>
      </c>
      <c r="I10" s="31">
        <v>5</v>
      </c>
      <c r="J10" s="31">
        <v>5</v>
      </c>
      <c r="K10" s="42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 ht="74.25" customHeight="1" spans="1:26">
      <c r="A11" s="6"/>
      <c r="B11" s="10"/>
      <c r="C11" s="7" t="s">
        <v>30</v>
      </c>
      <c r="D11" s="8" t="s">
        <v>22</v>
      </c>
      <c r="E11" s="30" t="s">
        <v>22</v>
      </c>
      <c r="F11" s="14" t="s">
        <v>23</v>
      </c>
      <c r="G11" s="13">
        <v>5</v>
      </c>
      <c r="H11" s="32" t="s">
        <v>24</v>
      </c>
      <c r="I11" s="13">
        <v>5</v>
      </c>
      <c r="J11" s="13">
        <v>5</v>
      </c>
      <c r="K11" s="42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</row>
    <row r="12" ht="74.25" customHeight="1" spans="1:26">
      <c r="A12" s="6"/>
      <c r="B12" s="10"/>
      <c r="C12" s="7" t="s">
        <v>31</v>
      </c>
      <c r="D12" s="8" t="s">
        <v>22</v>
      </c>
      <c r="E12" s="30" t="s">
        <v>22</v>
      </c>
      <c r="F12" s="14" t="s">
        <v>23</v>
      </c>
      <c r="G12" s="13">
        <v>5</v>
      </c>
      <c r="H12" s="32" t="s">
        <v>24</v>
      </c>
      <c r="I12" s="13">
        <v>5</v>
      </c>
      <c r="J12" s="13">
        <v>5</v>
      </c>
      <c r="K12" s="42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</row>
    <row r="13" ht="74.25" customHeight="1" spans="1:26">
      <c r="A13" s="6"/>
      <c r="B13" s="11" t="s">
        <v>32</v>
      </c>
      <c r="C13" s="7" t="s">
        <v>33</v>
      </c>
      <c r="D13" s="8" t="s">
        <v>22</v>
      </c>
      <c r="E13" s="30" t="s">
        <v>22</v>
      </c>
      <c r="F13" s="14" t="s">
        <v>23</v>
      </c>
      <c r="G13" s="13">
        <v>10</v>
      </c>
      <c r="H13" s="33" t="s">
        <v>24</v>
      </c>
      <c r="I13" s="13">
        <v>10</v>
      </c>
      <c r="J13" s="13">
        <v>10</v>
      </c>
      <c r="K13" s="42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</row>
    <row r="14" ht="117" customHeight="1" spans="1:26">
      <c r="A14" s="12" t="s">
        <v>34</v>
      </c>
      <c r="B14" s="13" t="s">
        <v>35</v>
      </c>
      <c r="C14" s="14" t="s">
        <v>36</v>
      </c>
      <c r="D14" s="14" t="s">
        <v>37</v>
      </c>
      <c r="E14" s="34" t="s">
        <v>38</v>
      </c>
      <c r="F14" s="14" t="s">
        <v>39</v>
      </c>
      <c r="G14" s="13">
        <v>10</v>
      </c>
      <c r="H14" s="33"/>
      <c r="I14" s="30">
        <v>10</v>
      </c>
      <c r="J14" s="30">
        <v>10</v>
      </c>
      <c r="K14" s="42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</row>
    <row r="15" ht="156.75" customHeight="1" spans="1:26">
      <c r="A15" s="15"/>
      <c r="B15" s="13" t="s">
        <v>40</v>
      </c>
      <c r="C15" s="14" t="s">
        <v>41</v>
      </c>
      <c r="D15" s="14" t="s">
        <v>42</v>
      </c>
      <c r="E15" s="34" t="s">
        <v>38</v>
      </c>
      <c r="F15" s="14" t="s">
        <v>43</v>
      </c>
      <c r="G15" s="13">
        <v>20</v>
      </c>
      <c r="H15" s="30"/>
      <c r="I15" s="43">
        <v>20</v>
      </c>
      <c r="J15" s="43">
        <v>20</v>
      </c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</row>
    <row r="16" ht="93" customHeight="1" spans="1:26">
      <c r="A16" s="15"/>
      <c r="B16" s="16" t="s">
        <v>44</v>
      </c>
      <c r="C16" s="17" t="s">
        <v>45</v>
      </c>
      <c r="D16" s="17" t="s">
        <v>46</v>
      </c>
      <c r="E16" s="30" t="s">
        <v>47</v>
      </c>
      <c r="F16" s="7" t="s">
        <v>48</v>
      </c>
      <c r="G16" s="13">
        <v>10</v>
      </c>
      <c r="H16" s="30"/>
      <c r="I16" s="43">
        <v>10</v>
      </c>
      <c r="J16" s="43">
        <v>10</v>
      </c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</row>
    <row r="17" ht="76.5" customHeight="1" spans="1:26">
      <c r="A17" s="15"/>
      <c r="B17" s="18"/>
      <c r="C17" s="14" t="s">
        <v>49</v>
      </c>
      <c r="D17" s="7" t="s">
        <v>50</v>
      </c>
      <c r="E17" s="11" t="s">
        <v>51</v>
      </c>
      <c r="F17" s="10" t="s">
        <v>52</v>
      </c>
      <c r="G17" s="13">
        <v>10</v>
      </c>
      <c r="H17" s="30"/>
      <c r="I17" s="43">
        <v>10</v>
      </c>
      <c r="J17" s="43">
        <v>5</v>
      </c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</row>
    <row r="18" ht="76.5" customHeight="1" spans="1:26">
      <c r="A18" s="15"/>
      <c r="B18" s="16" t="s">
        <v>53</v>
      </c>
      <c r="C18" s="19" t="s">
        <v>54</v>
      </c>
      <c r="D18" s="14"/>
      <c r="E18" s="30"/>
      <c r="F18" s="14"/>
      <c r="G18" s="35"/>
      <c r="H18" s="30"/>
      <c r="I18" s="43"/>
      <c r="J18" s="43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</row>
    <row r="19" ht="39" customHeight="1" spans="1:26">
      <c r="A19" s="20" t="s">
        <v>55</v>
      </c>
      <c r="B19" s="21" t="s">
        <v>55</v>
      </c>
      <c r="C19" s="21" t="s">
        <v>56</v>
      </c>
      <c r="D19" s="2"/>
      <c r="E19" s="2"/>
      <c r="F19" s="2"/>
      <c r="G19" s="13"/>
      <c r="H19" s="30"/>
      <c r="I19" s="43"/>
      <c r="J19" s="43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</row>
    <row r="20" ht="27.75" customHeight="1" spans="1:26">
      <c r="A20" s="22" t="s">
        <v>57</v>
      </c>
      <c r="B20" s="23"/>
      <c r="C20" s="23"/>
      <c r="D20" s="23"/>
      <c r="E20" s="23"/>
      <c r="F20" s="23"/>
      <c r="G20" s="23"/>
      <c r="H20" s="23"/>
      <c r="I20" s="23"/>
      <c r="J20" s="44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 ht="36" spans="1:26">
      <c r="A21" s="3" t="s">
        <v>10</v>
      </c>
      <c r="B21" s="3" t="s">
        <v>11</v>
      </c>
      <c r="C21" s="4" t="s">
        <v>12</v>
      </c>
      <c r="D21" s="5" t="s">
        <v>13</v>
      </c>
      <c r="E21" s="5" t="s">
        <v>14</v>
      </c>
      <c r="F21" s="5" t="s">
        <v>17</v>
      </c>
      <c r="G21" s="2"/>
      <c r="H21" s="2"/>
      <c r="I21" s="5" t="s">
        <v>18</v>
      </c>
      <c r="J21" s="5" t="s">
        <v>19</v>
      </c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</row>
    <row r="22" ht="36" spans="1:26">
      <c r="A22" s="5" t="s">
        <v>58</v>
      </c>
      <c r="B22" s="24" t="s">
        <v>59</v>
      </c>
      <c r="C22" s="25" t="s">
        <v>60</v>
      </c>
      <c r="D22" s="2"/>
      <c r="E22" s="36" t="s">
        <v>61</v>
      </c>
      <c r="F22" s="5"/>
      <c r="G22" s="2"/>
      <c r="H22" s="2"/>
      <c r="I22" s="45"/>
      <c r="J22" s="45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</row>
    <row r="23" ht="29.25" customHeight="1" spans="1:26">
      <c r="A23" s="26"/>
      <c r="B23" s="27"/>
      <c r="C23" s="27"/>
      <c r="D23" s="27"/>
      <c r="E23" s="27"/>
      <c r="F23" s="27"/>
      <c r="G23" s="27"/>
      <c r="H23" s="37"/>
      <c r="I23" s="46">
        <f>SUM(I5:I19)+I22</f>
        <v>100</v>
      </c>
      <c r="J23" s="46">
        <f>SUM(J5:J19)+J22</f>
        <v>95</v>
      </c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</row>
    <row r="24" ht="34.5" customHeight="1" spans="1:26">
      <c r="A24" s="3" t="s">
        <v>62</v>
      </c>
      <c r="B24" s="3" t="s">
        <v>63</v>
      </c>
      <c r="C24" s="3"/>
      <c r="D24" s="3" t="s">
        <v>64</v>
      </c>
      <c r="E24" s="38"/>
      <c r="F24" s="2"/>
      <c r="G24" s="2"/>
      <c r="H24" s="3" t="s">
        <v>65</v>
      </c>
      <c r="I24" s="3"/>
      <c r="J24" s="2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</row>
    <row r="25" ht="34.5" customHeight="1" spans="1:26">
      <c r="A25" s="3" t="s">
        <v>66</v>
      </c>
      <c r="B25" s="3" t="s">
        <v>63</v>
      </c>
      <c r="C25" s="3"/>
      <c r="D25" s="3" t="s">
        <v>64</v>
      </c>
      <c r="E25" s="5"/>
      <c r="F25" s="2"/>
      <c r="G25" s="2"/>
      <c r="H25" s="3" t="s">
        <v>65</v>
      </c>
      <c r="I25" s="3"/>
      <c r="J25" s="2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</row>
    <row r="26" ht="67.5" customHeight="1" spans="1:26">
      <c r="A26" s="28" t="s">
        <v>67</v>
      </c>
      <c r="B26" s="29"/>
      <c r="C26" s="29"/>
      <c r="D26" s="29"/>
      <c r="E26" s="29"/>
      <c r="F26" s="29"/>
      <c r="G26" s="29"/>
      <c r="H26" s="29"/>
      <c r="I26" s="29"/>
      <c r="J26" s="47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</row>
    <row r="31" spans="3:3">
      <c r="C31" t="s">
        <v>68</v>
      </c>
    </row>
  </sheetData>
  <mergeCells count="18">
    <mergeCell ref="A1:J1"/>
    <mergeCell ref="E2:F2"/>
    <mergeCell ref="A3:J3"/>
    <mergeCell ref="C19:F19"/>
    <mergeCell ref="A20:J20"/>
    <mergeCell ref="F21:H21"/>
    <mergeCell ref="C22:D22"/>
    <mergeCell ref="F22:H22"/>
    <mergeCell ref="A23:H23"/>
    <mergeCell ref="E24:G24"/>
    <mergeCell ref="I24:J24"/>
    <mergeCell ref="E25:G25"/>
    <mergeCell ref="I25:J25"/>
    <mergeCell ref="A26:J26"/>
    <mergeCell ref="A5:A13"/>
    <mergeCell ref="A14:A18"/>
    <mergeCell ref="B5:B12"/>
    <mergeCell ref="B16:B1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李金涛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</cp:lastModifiedBy>
  <dcterms:created xsi:type="dcterms:W3CDTF">2025-09-16T14:44:00Z</dcterms:created>
  <dcterms:modified xsi:type="dcterms:W3CDTF">2026-03-03T17:01:18Z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B02B165F2DDA2E0EC399A669039EDCAE_43</vt:lpwstr>
  </property>
  <property fmtid="{D5CDD505-2E9C-101B-9397-08002B2CF9AE}" pid="3" name="KSOProductBuildVer">
    <vt:lpwstr>2052-7.5.1.8994</vt:lpwstr>
  </property>
  <property fmtid="{D5CDD505-2E9C-101B-9397-08002B2CF9AE}" pid="4" name="CalculationRule">
    <vt:i4>0</vt:i4>
  </property>
</Properties>
</file>