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/>
  </bookViews>
  <sheets>
    <sheet name="开发" sheetId="1" r:id="rId1"/>
    <sheet name="测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<sst xmlns="http://schemas.openxmlformats.org/spreadsheetml/2006/main" count="163" uniqueCount="82">
  <si>
    <t>2月绩效考核表</t>
  </si>
  <si>
    <t>姓名:</t>
  </si>
  <si>
    <t>汤显文</t>
  </si>
  <si>
    <t>部门:</t>
  </si>
  <si>
    <t>开发</t>
  </si>
  <si>
    <t>岗位：</t>
  </si>
  <si>
    <t>考核周期 ：</t>
  </si>
  <si>
    <t>2025.2.1-2025.2.28</t>
  </si>
  <si>
    <t>一、业务管理（100分）</t>
  </si>
  <si>
    <t>维度</t>
  </si>
  <si>
    <t>指标</t>
  </si>
  <si>
    <r>
      <rPr>
        <b/>
        <sz val="12"/>
        <color rgb="FF000000"/>
        <rFont val="微软雅黑"/>
        <charset val="134"/>
      </rPr>
      <t xml:space="preserve">指标说明
</t>
    </r>
    <r>
      <rPr>
        <sz val="12"/>
        <color rgb="FF000000"/>
        <rFont val="微软雅黑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</si>
  <si>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</si>
  <si>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</si>
  <si>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</si>
  <si>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</si>
  <si>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</si>
  <si>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</si>
  <si>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</si>
  <si>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结果指标(50分)</t>
  </si>
  <si>
    <t>产品规划(30分)</t>
  </si>
  <si>
    <t>打包app，生成官网，以及app相关公钥签名的生成</t>
  </si>
  <si>
    <t>完成需求开发</t>
  </si>
  <si>
    <t>研发中心</t>
  </si>
  <si>
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</si>
  <si>
    <t>完成新app的公钥签名生成</t>
  </si>
  <si>
    <t>客户反馈的bug修复</t>
  </si>
  <si>
    <t>完成90%的bug修复</t>
  </si>
  <si>
    <t>及时改进以及修复bug</t>
  </si>
  <si>
    <t>APP日常需求开发</t>
  </si>
  <si>
    <t>完成</t>
  </si>
  <si>
    <t>技术任务(20分)</t>
  </si>
  <si>
    <t>解决app目前不支持nvue页面问题</t>
  </si>
  <si>
    <t>能使用nvue以及subNvue</t>
  </si>
  <si>
    <t>目前项目可以直接建nvue页面运行以及接入原生组件</t>
  </si>
  <si>
    <t>过程指标(50分)</t>
  </si>
  <si>
    <t>开发规范</t>
  </si>
  <si>
    <t>按照设计要求输出设计文档</t>
  </si>
  <si>
    <t>1、精准复用组件、业务公共逻辑；
2、需求、技术任务超过30工时，需要流程图输出；
3、重点项目需输出体验报告；</t>
  </si>
  <si>
    <t>未作1次：扣2分/次；
未作2次：扣5分/次；
未作3次：扣10分/次；
加2-5分（周期）。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</si>
  <si>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</si>
  <si>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</si>
  <si>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</si>
  <si>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</si>
  <si>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</si>
  <si>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</si>
  <si>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</si>
  <si>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</si>
  <si>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</si>
  <si>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</si>
  <si>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</si>
  <si>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</si>
  <si>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</si>
  <si>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关键指标</t>
  </si>
  <si>
    <t>如：培训、代码评审、关键技术事项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</si>
  <si>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</si>
  <si>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</si>
  <si>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</si>
  <si>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</si>
  <si>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</si>
  <si>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</si>
  <si>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</si>
  <si>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</si>
  <si>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</si>
  <si>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</si>
  <si>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</si>
  <si>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</si>
  <si>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</si>
  <si>
    <t>X月绩效考核表</t>
  </si>
  <si>
    <t>XXX</t>
  </si>
  <si>
    <t>测试</t>
  </si>
  <si>
    <t>2025.7.1-2025.7.31</t>
  </si>
  <si>
    <t>A需求</t>
  </si>
  <si>
    <t>B需求</t>
  </si>
  <si>
    <t>A技术任务</t>
  </si>
  <si>
    <t>测试规范</t>
  </si>
  <si>
    <t>测试用例编写规范</t>
  </si>
  <si>
    <t>需求测试用例编写缺失；扣1分/次；
需求测试用例编写未按照用例规范；扣1分/次；
准入流程：
提测无冒烟流程；每次扣1分；
准出流程：
测试经过系统|master|联团|线上全流程验证；跳流程 扣1分/次；</t>
  </si>
  <si>
    <t>线上问题： 一般问题，严重问题，致命问题
一般问题：3个及以上，扣3分，每增加1个增扣1分，扣完为止；
严重问题：每个扣5-10分；
致命问题：该项不得分，致命问题有一票否决权
质量奖励：当月线上环境无一般及以上问题视情况加2分-5分。</t>
  </si>
  <si>
    <t>测试质量，测试环境bug率</t>
  </si>
  <si>
    <t>测试环境 /（测试环境+线上环境)*100%</t>
  </si>
  <si>
    <t>过程质量（4 分）：
1. 测试环境 bug 标记准确率 100%（2 分）：在缺陷管理系统中准确标记 “测试环境” 发现标签，错标 / 漏标 1 个扣 0.5 分（扣完为止）；
2. 测试环境 bug 根因记录完整（2 分）：每个 bug 需注明 “环境配置问题 / 数据问题 / 工具问题” 等根因，未记录 1 个扣 0.5 分（扣完为止）；
结果质量（6 分）：
测试环境 bug 率≥85% 得 6 分（即 85% 以上的 bug 在测试环境被发现）；
80%-84% 得 4 分；
75%-79% 得 2 分；
&lt;75% 得 0 分（说明线上 bug 占比过高，测试环境拦截不足）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</si>
</sst>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20"/>
      <color theme="1"/>
      <name val="宋体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name val="宋体"/>
      <charset val="134"/>
      <scheme val="minor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u/>
      <sz val="12"/>
      <name val="微软雅黑"/>
      <charset val="134"/>
    </font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8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3" xfId="0" applyFont="1" applyBorder="1" applyAlignment="1"/>
    <xf numFmtId="0" fontId="10" fillId="0" borderId="4" xfId="0" applyFont="1" applyBorder="1" applyAlignment="1"/>
    <xf numFmtId="0" fontId="8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wrapText="1"/>
    </xf>
    <xf numFmtId="0" fontId="16" fillId="0" borderId="0" xfId="0" applyFont="1" applyFill="1">
      <alignment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"/>
  <dimension ref="A1:K22"/>
  <sheetViews>
    <sheetView tabSelected="1" zoomScale="81" zoomScaleNormal="81" topLeftCell="F10" workbookViewId="0">
      <selection activeCell="K16" sqref="K16"/>
    </sheetView>
  </sheetViews>
  <sheetFormatPr defaultColWidth="9" defaultRowHeight="28.8"/>
  <cols>
    <col min="1" max="1" width="19.75" style="79" customWidth="1"/>
    <col min="2" max="2" width="16.6826923076923" style="79" customWidth="1"/>
    <col min="3" max="3" width="67.0673076923077" style="79" customWidth="1"/>
    <col min="4" max="4" width="58.1538461538462" style="79" customWidth="1"/>
    <col min="5" max="5" width="15.7692307692308" style="79" customWidth="1"/>
    <col min="6" max="6" width="32.6346153846154" style="79" customWidth="1"/>
    <col min="7" max="7" width="13.2692307692308" style="79" customWidth="1"/>
    <col min="8" max="8" width="108.605769230769" style="80" customWidth="1"/>
    <col min="9" max="9" width="18.2788461538462" style="79" customWidth="1"/>
    <col min="10" max="10" width="67.8557692307692" style="79" customWidth="1"/>
    <col min="11" max="11" width="51.0961538461538" style="79" customWidth="1"/>
    <col min="12" max="26" width="9" style="79"/>
  </cols>
  <sheetData>
    <row r="1" s="77" customFormat="1" ht="26.25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78" customFormat="1" ht="32.25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37"/>
      <c r="F2" s="45"/>
      <c r="G2" s="5" t="s">
        <v>5</v>
      </c>
      <c r="H2" s="5" t="s">
        <v>4</v>
      </c>
      <c r="I2" s="5" t="s">
        <v>6</v>
      </c>
      <c r="J2" s="69" t="s">
        <v>7</v>
      </c>
    </row>
    <row r="3" s="77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77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1" customFormat="1" ht="68" customHeight="1" spans="1:11">
      <c r="A5" s="17" t="s">
        <v>19</v>
      </c>
      <c r="B5" s="81" t="s">
        <v>20</v>
      </c>
      <c r="C5" s="28" t="s">
        <v>21</v>
      </c>
      <c r="D5" s="82" t="s">
        <v>22</v>
      </c>
      <c r="E5" s="47" t="s">
        <v>23</v>
      </c>
      <c r="F5" s="86" t="s">
        <v>24</v>
      </c>
      <c r="G5" s="49">
        <v>10</v>
      </c>
      <c r="H5" s="87" t="s">
        <v>25</v>
      </c>
      <c r="I5" s="47">
        <v>10</v>
      </c>
      <c r="J5" s="47">
        <v>10</v>
      </c>
      <c r="K5" s="71"/>
    </row>
    <row r="6" s="77" customFormat="1" ht="72.75" customHeight="1" spans="1:11">
      <c r="A6" s="20"/>
      <c r="B6" s="83"/>
      <c r="C6" s="84" t="s">
        <v>26</v>
      </c>
      <c r="D6" s="82" t="s">
        <v>27</v>
      </c>
      <c r="E6" s="47" t="s">
        <v>23</v>
      </c>
      <c r="F6" s="88"/>
      <c r="G6" s="49">
        <v>10</v>
      </c>
      <c r="H6" s="87" t="s">
        <v>28</v>
      </c>
      <c r="I6" s="47">
        <v>9</v>
      </c>
      <c r="J6" s="47">
        <v>9</v>
      </c>
      <c r="K6" s="94"/>
    </row>
    <row r="7" s="77" customFormat="1" ht="74.25" customHeight="1" spans="1:11">
      <c r="A7" s="20"/>
      <c r="B7" s="83"/>
      <c r="C7" s="28" t="s">
        <v>29</v>
      </c>
      <c r="D7" s="82" t="s">
        <v>22</v>
      </c>
      <c r="E7" s="47" t="s">
        <v>23</v>
      </c>
      <c r="F7" s="88"/>
      <c r="G7" s="49">
        <v>10</v>
      </c>
      <c r="H7" s="87" t="s">
        <v>30</v>
      </c>
      <c r="I7" s="47">
        <v>9</v>
      </c>
      <c r="J7" s="47">
        <v>9</v>
      </c>
      <c r="K7" s="94"/>
    </row>
    <row r="8" s="77" customFormat="1" ht="74.25" customHeight="1" spans="1:11">
      <c r="A8" s="23"/>
      <c r="B8" s="10" t="s">
        <v>31</v>
      </c>
      <c r="C8" s="28" t="s">
        <v>32</v>
      </c>
      <c r="D8" s="82" t="s">
        <v>33</v>
      </c>
      <c r="E8" s="51" t="s">
        <v>23</v>
      </c>
      <c r="F8" s="88"/>
      <c r="G8" s="49">
        <v>20</v>
      </c>
      <c r="H8" s="87" t="s">
        <v>34</v>
      </c>
      <c r="I8" s="47">
        <v>19</v>
      </c>
      <c r="J8" s="47">
        <v>19</v>
      </c>
      <c r="K8" s="94"/>
    </row>
    <row r="9" s="77" customFormat="1" ht="117" customHeight="1" spans="1:11">
      <c r="A9" s="17" t="s">
        <v>35</v>
      </c>
      <c r="B9" s="21" t="s">
        <v>36</v>
      </c>
      <c r="C9" s="84" t="s">
        <v>37</v>
      </c>
      <c r="D9" s="22" t="s">
        <v>38</v>
      </c>
      <c r="E9" s="53" t="s">
        <v>23</v>
      </c>
      <c r="F9" s="54" t="s">
        <v>39</v>
      </c>
      <c r="G9" s="49">
        <v>10</v>
      </c>
      <c r="H9" s="87"/>
      <c r="I9" s="47">
        <v>9</v>
      </c>
      <c r="J9" s="47">
        <v>9</v>
      </c>
      <c r="K9" s="94"/>
    </row>
    <row r="10" s="77" customFormat="1" ht="156.75" customHeight="1" spans="1:10">
      <c r="A10" s="20"/>
      <c r="B10" s="21" t="s">
        <v>40</v>
      </c>
      <c r="C10" s="22" t="s">
        <v>41</v>
      </c>
      <c r="D10" s="22" t="s">
        <v>42</v>
      </c>
      <c r="E10" s="53" t="s">
        <v>23</v>
      </c>
      <c r="F10" s="54" t="s">
        <v>43</v>
      </c>
      <c r="G10" s="49">
        <v>20</v>
      </c>
      <c r="H10" s="87"/>
      <c r="I10" s="47">
        <v>19</v>
      </c>
      <c r="J10" s="47">
        <v>19</v>
      </c>
    </row>
    <row r="11" s="77" customFormat="1" ht="93" customHeight="1" spans="1:10">
      <c r="A11" s="23"/>
      <c r="B11" s="24" t="s">
        <v>44</v>
      </c>
      <c r="C11" s="25" t="s">
        <v>45</v>
      </c>
      <c r="D11" s="26" t="s">
        <v>46</v>
      </c>
      <c r="E11" s="89" t="s">
        <v>47</v>
      </c>
      <c r="F11" s="86" t="s">
        <v>48</v>
      </c>
      <c r="G11" s="49">
        <v>10</v>
      </c>
      <c r="H11" s="87"/>
      <c r="I11" s="47">
        <v>9</v>
      </c>
      <c r="J11" s="47">
        <v>9</v>
      </c>
    </row>
    <row r="12" s="77" customFormat="1" ht="76.5" customHeight="1" spans="1:10">
      <c r="A12" s="23"/>
      <c r="B12" s="27"/>
      <c r="C12" s="28" t="s">
        <v>49</v>
      </c>
      <c r="D12" s="15" t="s">
        <v>50</v>
      </c>
      <c r="E12" s="10" t="s">
        <v>51</v>
      </c>
      <c r="F12" s="90" t="s">
        <v>52</v>
      </c>
      <c r="G12" s="49">
        <v>10</v>
      </c>
      <c r="H12" s="87"/>
      <c r="I12" s="47">
        <v>9</v>
      </c>
      <c r="J12" s="47">
        <v>9</v>
      </c>
    </row>
    <row r="13" s="1" customFormat="1" ht="76.5" customHeight="1" spans="1:10">
      <c r="A13" s="29"/>
      <c r="B13" s="30" t="s">
        <v>53</v>
      </c>
      <c r="C13" s="31" t="s">
        <v>54</v>
      </c>
      <c r="D13" s="32"/>
      <c r="E13" s="60"/>
      <c r="F13" s="19"/>
      <c r="G13" s="57"/>
      <c r="H13" s="51"/>
      <c r="I13" s="70"/>
      <c r="J13" s="70"/>
    </row>
    <row r="14" s="77" customFormat="1" ht="39" customHeight="1" spans="1:10">
      <c r="A14" s="33" t="s">
        <v>55</v>
      </c>
      <c r="B14" s="34" t="s">
        <v>55</v>
      </c>
      <c r="C14" s="35" t="s">
        <v>56</v>
      </c>
      <c r="D14" s="85"/>
      <c r="E14" s="85"/>
      <c r="F14" s="91"/>
      <c r="G14" s="49"/>
      <c r="H14" s="51"/>
      <c r="I14" s="70"/>
      <c r="J14" s="70"/>
    </row>
    <row r="15" s="77" customFormat="1" ht="28" customHeight="1" spans="1:10">
      <c r="A15" s="37" t="s">
        <v>57</v>
      </c>
      <c r="B15" s="38"/>
      <c r="C15" s="38"/>
      <c r="D15" s="38"/>
      <c r="E15" s="38"/>
      <c r="F15" s="38"/>
      <c r="G15" s="38"/>
      <c r="H15" s="38"/>
      <c r="I15" s="38"/>
      <c r="J15" s="45"/>
    </row>
    <row r="16" s="77" customFormat="1" ht="36" spans="1:10">
      <c r="A16" s="7" t="s">
        <v>9</v>
      </c>
      <c r="B16" s="7" t="s">
        <v>10</v>
      </c>
      <c r="C16" s="8" t="s">
        <v>11</v>
      </c>
      <c r="D16" s="8" t="s">
        <v>12</v>
      </c>
      <c r="E16" s="8" t="s">
        <v>13</v>
      </c>
      <c r="F16" s="61" t="s">
        <v>16</v>
      </c>
      <c r="G16" s="62"/>
      <c r="H16" s="63"/>
      <c r="I16" s="46" t="s">
        <v>17</v>
      </c>
      <c r="J16" s="46" t="s">
        <v>18</v>
      </c>
    </row>
    <row r="17" s="77" customFormat="1" ht="18" spans="1:10">
      <c r="A17" s="39" t="s">
        <v>58</v>
      </c>
      <c r="B17" s="40" t="s">
        <v>59</v>
      </c>
      <c r="C17" s="41" t="s">
        <v>60</v>
      </c>
      <c r="D17" s="41"/>
      <c r="E17" s="64" t="s">
        <v>61</v>
      </c>
      <c r="F17" s="65"/>
      <c r="G17" s="66"/>
      <c r="H17" s="67"/>
      <c r="I17" s="72"/>
      <c r="J17" s="72"/>
    </row>
    <row r="18" s="77" customFormat="1" ht="29.25" customHeight="1" spans="1:10">
      <c r="A18" s="42"/>
      <c r="B18" s="42"/>
      <c r="C18" s="42"/>
      <c r="D18" s="42"/>
      <c r="E18" s="42"/>
      <c r="F18" s="42"/>
      <c r="G18" s="42"/>
      <c r="H18" s="92"/>
      <c r="I18" s="73">
        <f>SUM(I5:I17)</f>
        <v>93</v>
      </c>
      <c r="J18" s="73">
        <f>SUM(J5:J14)+J17</f>
        <v>93</v>
      </c>
    </row>
    <row r="19" s="77" customFormat="1" ht="35" customHeight="1" spans="1:10">
      <c r="A19" s="6" t="s">
        <v>62</v>
      </c>
      <c r="B19" s="6" t="s">
        <v>63</v>
      </c>
      <c r="C19" s="6"/>
      <c r="D19" s="6" t="s">
        <v>64</v>
      </c>
      <c r="E19" s="68"/>
      <c r="F19" s="68"/>
      <c r="G19" s="68"/>
      <c r="H19" s="6" t="s">
        <v>65</v>
      </c>
      <c r="I19" s="74"/>
      <c r="J19" s="75"/>
    </row>
    <row r="20" s="77" customFormat="1" ht="35" customHeight="1" spans="1:10">
      <c r="A20" s="6" t="s">
        <v>66</v>
      </c>
      <c r="B20" s="6" t="s">
        <v>63</v>
      </c>
      <c r="C20" s="6"/>
      <c r="D20" s="6" t="s">
        <v>64</v>
      </c>
      <c r="E20" s="61"/>
      <c r="F20" s="62"/>
      <c r="G20" s="63"/>
      <c r="H20" s="6" t="s">
        <v>65</v>
      </c>
      <c r="I20" s="74"/>
      <c r="J20" s="75"/>
    </row>
    <row r="21" s="77" customFormat="1" ht="68" customHeight="1" spans="1:10">
      <c r="A21" s="43" t="s">
        <v>67</v>
      </c>
      <c r="B21" s="44"/>
      <c r="C21" s="44"/>
      <c r="D21" s="44"/>
      <c r="E21" s="44"/>
      <c r="F21" s="44"/>
      <c r="G21" s="44"/>
      <c r="H21" s="93"/>
      <c r="I21" s="44"/>
      <c r="J21" s="76"/>
    </row>
    <row r="22" s="79" customFormat="1" ht="68" customHeight="1" spans="8:8">
      <c r="H22" s="80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测试"/>
  <dimension ref="A1:K21"/>
  <sheetViews>
    <sheetView zoomScale="81" zoomScaleNormal="81" workbookViewId="0">
      <selection activeCell="A1" sqref="A1:J1"/>
    </sheetView>
  </sheetViews>
  <sheetFormatPr defaultColWidth="10.3846153846154" defaultRowHeight="28.8"/>
  <cols>
    <col min="1" max="1" width="19.75" style="3" customWidth="1"/>
    <col min="2" max="2" width="16.6826923076923" style="3" customWidth="1"/>
    <col min="3" max="3" width="34.3557692307692" style="3" customWidth="1"/>
    <col min="4" max="4" width="58.1538461538462" style="3" customWidth="1"/>
    <col min="5" max="5" width="15.7692307692308" style="3" customWidth="1"/>
    <col min="6" max="6" width="39.0096153846154" style="3" customWidth="1"/>
    <col min="7" max="7" width="13.2692307692308" style="3" customWidth="1"/>
    <col min="8" max="8" width="20.125" style="3" customWidth="1"/>
    <col min="9" max="9" width="18.2788461538462" style="3" customWidth="1"/>
    <col min="10" max="10" width="19.9903846153846" style="3" customWidth="1"/>
    <col min="11" max="11" width="51.0961538461538" style="3" customWidth="1"/>
    <col min="12" max="26" width="9" style="3"/>
  </cols>
  <sheetData>
    <row r="1" s="1" customFormat="1" ht="26.25" customHeight="1" spans="1:10">
      <c r="A1" s="4" t="s">
        <v>68</v>
      </c>
      <c r="B1" s="5"/>
      <c r="C1" s="5"/>
      <c r="D1" s="5"/>
      <c r="E1" s="5"/>
      <c r="F1" s="5"/>
      <c r="G1" s="5"/>
      <c r="H1" s="5"/>
      <c r="I1" s="5"/>
      <c r="J1" s="5"/>
    </row>
    <row r="2" s="2" customFormat="1" ht="32.25" customHeight="1" spans="1:10">
      <c r="A2" s="5" t="s">
        <v>1</v>
      </c>
      <c r="B2" s="6" t="s">
        <v>69</v>
      </c>
      <c r="C2" s="5" t="s">
        <v>3</v>
      </c>
      <c r="D2" s="5" t="s">
        <v>51</v>
      </c>
      <c r="E2" s="37"/>
      <c r="F2" s="45"/>
      <c r="G2" s="5" t="s">
        <v>5</v>
      </c>
      <c r="H2" s="5" t="s">
        <v>70</v>
      </c>
      <c r="I2" s="5" t="s">
        <v>6</v>
      </c>
      <c r="J2" s="69" t="s">
        <v>71</v>
      </c>
    </row>
    <row r="3" s="1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1" customFormat="1" ht="39" customHeight="1" spans="1:11">
      <c r="A5" s="9" t="s">
        <v>19</v>
      </c>
      <c r="B5" s="10" t="s">
        <v>20</v>
      </c>
      <c r="C5" s="11" t="s">
        <v>72</v>
      </c>
      <c r="D5" s="12"/>
      <c r="E5" s="47" t="s">
        <v>23</v>
      </c>
      <c r="F5" s="48"/>
      <c r="G5" s="49">
        <v>15</v>
      </c>
      <c r="H5" s="50"/>
      <c r="I5" s="47"/>
      <c r="J5" s="70"/>
      <c r="K5" s="71"/>
    </row>
    <row r="6" s="1" customFormat="1" ht="72.75" customHeight="1" spans="1:11">
      <c r="A6" s="13"/>
      <c r="B6" s="14"/>
      <c r="C6" s="11" t="s">
        <v>73</v>
      </c>
      <c r="D6" s="12"/>
      <c r="E6" s="47" t="s">
        <v>23</v>
      </c>
      <c r="F6" s="48"/>
      <c r="G6" s="49">
        <v>15</v>
      </c>
      <c r="H6" s="50"/>
      <c r="I6" s="47"/>
      <c r="J6" s="70"/>
      <c r="K6" s="71"/>
    </row>
    <row r="7" s="1" customFormat="1" ht="74.25" customHeight="1" spans="1:11">
      <c r="A7" s="13"/>
      <c r="B7" s="10" t="s">
        <v>31</v>
      </c>
      <c r="C7" s="15" t="s">
        <v>74</v>
      </c>
      <c r="D7" s="16"/>
      <c r="E7" s="51" t="s">
        <v>23</v>
      </c>
      <c r="F7" s="52"/>
      <c r="G7" s="49">
        <v>20</v>
      </c>
      <c r="H7" s="50"/>
      <c r="I7" s="47"/>
      <c r="J7" s="70"/>
      <c r="K7" s="71"/>
    </row>
    <row r="8" s="1" customFormat="1" ht="124" customHeight="1" spans="1:11">
      <c r="A8" s="17" t="s">
        <v>35</v>
      </c>
      <c r="B8" s="18" t="s">
        <v>75</v>
      </c>
      <c r="C8" s="19" t="s">
        <v>76</v>
      </c>
      <c r="D8" s="19" t="s">
        <v>77</v>
      </c>
      <c r="E8" s="53" t="s">
        <v>23</v>
      </c>
      <c r="F8" s="54" t="s">
        <v>39</v>
      </c>
      <c r="G8" s="49">
        <v>10</v>
      </c>
      <c r="H8" s="50"/>
      <c r="I8" s="47"/>
      <c r="J8" s="70"/>
      <c r="K8" s="71"/>
    </row>
    <row r="9" s="1" customFormat="1" ht="212" customHeight="1" spans="1:10">
      <c r="A9" s="20"/>
      <c r="B9" s="21" t="s">
        <v>40</v>
      </c>
      <c r="C9" s="22" t="s">
        <v>41</v>
      </c>
      <c r="D9" s="22" t="s">
        <v>42</v>
      </c>
      <c r="E9" s="53" t="s">
        <v>23</v>
      </c>
      <c r="F9" s="55" t="s">
        <v>43</v>
      </c>
      <c r="G9" s="49">
        <v>20</v>
      </c>
      <c r="H9" s="51"/>
      <c r="I9" s="70"/>
      <c r="J9" s="70"/>
    </row>
    <row r="10" s="1" customFormat="1" ht="134.25" customHeight="1" spans="1:10">
      <c r="A10" s="23"/>
      <c r="B10" s="24" t="s">
        <v>44</v>
      </c>
      <c r="C10" s="25" t="s">
        <v>45</v>
      </c>
      <c r="D10" s="26" t="s">
        <v>46</v>
      </c>
      <c r="E10" s="56" t="s">
        <v>47</v>
      </c>
      <c r="F10" s="32" t="s">
        <v>78</v>
      </c>
      <c r="G10" s="57">
        <v>10</v>
      </c>
      <c r="H10" s="51"/>
      <c r="I10" s="70"/>
      <c r="J10" s="70"/>
    </row>
    <row r="11" s="1" customFormat="1" ht="336.75" customHeight="1" spans="1:10">
      <c r="A11" s="23"/>
      <c r="B11" s="27"/>
      <c r="C11" s="28" t="s">
        <v>79</v>
      </c>
      <c r="D11" s="28" t="s">
        <v>80</v>
      </c>
      <c r="E11" s="58" t="s">
        <v>51</v>
      </c>
      <c r="F11" s="59" t="s">
        <v>81</v>
      </c>
      <c r="G11" s="49">
        <v>10</v>
      </c>
      <c r="H11" s="51"/>
      <c r="I11" s="70"/>
      <c r="J11" s="70"/>
    </row>
    <row r="12" s="1" customFormat="1" ht="76.5" customHeight="1" spans="1:10">
      <c r="A12" s="29"/>
      <c r="B12" s="30" t="s">
        <v>53</v>
      </c>
      <c r="C12" s="31" t="s">
        <v>54</v>
      </c>
      <c r="D12" s="32"/>
      <c r="E12" s="60"/>
      <c r="F12" s="19"/>
      <c r="G12" s="57"/>
      <c r="H12" s="51"/>
      <c r="I12" s="70"/>
      <c r="J12" s="70"/>
    </row>
    <row r="13" s="1" customFormat="1" ht="39" customHeight="1" spans="1:10">
      <c r="A13" s="33" t="s">
        <v>55</v>
      </c>
      <c r="B13" s="34" t="s">
        <v>55</v>
      </c>
      <c r="C13" s="35" t="s">
        <v>56</v>
      </c>
      <c r="D13" s="36"/>
      <c r="E13" s="36"/>
      <c r="F13" s="53"/>
      <c r="G13" s="49"/>
      <c r="H13" s="51"/>
      <c r="I13" s="70"/>
      <c r="J13" s="70"/>
    </row>
    <row r="14" s="1" customFormat="1" ht="28" customHeight="1" spans="1:10">
      <c r="A14" s="37" t="s">
        <v>57</v>
      </c>
      <c r="B14" s="38"/>
      <c r="C14" s="38"/>
      <c r="D14" s="38"/>
      <c r="E14" s="38"/>
      <c r="F14" s="38"/>
      <c r="G14" s="38"/>
      <c r="H14" s="38"/>
      <c r="I14" s="38"/>
      <c r="J14" s="45"/>
    </row>
    <row r="15" s="1" customFormat="1" ht="36" spans="1:10">
      <c r="A15" s="7" t="s">
        <v>9</v>
      </c>
      <c r="B15" s="7" t="s">
        <v>10</v>
      </c>
      <c r="C15" s="8" t="s">
        <v>11</v>
      </c>
      <c r="D15" s="8" t="s">
        <v>12</v>
      </c>
      <c r="E15" s="8" t="s">
        <v>13</v>
      </c>
      <c r="F15" s="61" t="s">
        <v>16</v>
      </c>
      <c r="G15" s="62"/>
      <c r="H15" s="63"/>
      <c r="I15" s="46" t="s">
        <v>17</v>
      </c>
      <c r="J15" s="46" t="s">
        <v>18</v>
      </c>
    </row>
    <row r="16" s="1" customFormat="1" ht="18" spans="1:10">
      <c r="A16" s="39" t="s">
        <v>58</v>
      </c>
      <c r="B16" s="40" t="s">
        <v>59</v>
      </c>
      <c r="C16" s="41" t="s">
        <v>60</v>
      </c>
      <c r="D16" s="41"/>
      <c r="E16" s="64" t="s">
        <v>61</v>
      </c>
      <c r="F16" s="65"/>
      <c r="G16" s="66"/>
      <c r="H16" s="67"/>
      <c r="I16" s="72"/>
      <c r="J16" s="72"/>
    </row>
    <row r="17" s="1" customFormat="1" ht="29.25" customHeight="1" spans="1:10">
      <c r="A17" s="42"/>
      <c r="B17" s="42"/>
      <c r="C17" s="42"/>
      <c r="D17" s="42"/>
      <c r="E17" s="42"/>
      <c r="F17" s="42"/>
      <c r="G17" s="42"/>
      <c r="H17" s="42"/>
      <c r="I17" s="73">
        <f>SUM(I5:I13)+I16</f>
        <v>0</v>
      </c>
      <c r="J17" s="73">
        <f>SUM(J5:J13)+J16</f>
        <v>0</v>
      </c>
    </row>
    <row r="18" s="1" customFormat="1" ht="35" customHeight="1" spans="1:10">
      <c r="A18" s="6" t="s">
        <v>62</v>
      </c>
      <c r="B18" s="6" t="s">
        <v>63</v>
      </c>
      <c r="C18" s="6"/>
      <c r="D18" s="6" t="s">
        <v>64</v>
      </c>
      <c r="E18" s="68"/>
      <c r="F18" s="68"/>
      <c r="G18" s="68"/>
      <c r="H18" s="6" t="s">
        <v>65</v>
      </c>
      <c r="I18" s="74"/>
      <c r="J18" s="75"/>
    </row>
    <row r="19" s="1" customFormat="1" ht="35" customHeight="1" spans="1:10">
      <c r="A19" s="6" t="s">
        <v>66</v>
      </c>
      <c r="B19" s="6" t="s">
        <v>63</v>
      </c>
      <c r="C19" s="6"/>
      <c r="D19" s="6" t="s">
        <v>64</v>
      </c>
      <c r="E19" s="61"/>
      <c r="F19" s="62"/>
      <c r="G19" s="63"/>
      <c r="H19" s="6" t="s">
        <v>65</v>
      </c>
      <c r="I19" s="74"/>
      <c r="J19" s="75"/>
    </row>
    <row r="20" s="1" customFormat="1" ht="68" customHeight="1" spans="1:10">
      <c r="A20" s="43" t="s">
        <v>67</v>
      </c>
      <c r="B20" s="44"/>
      <c r="C20" s="44"/>
      <c r="D20" s="44"/>
      <c r="E20" s="44"/>
      <c r="F20" s="44"/>
      <c r="G20" s="44"/>
      <c r="H20" s="44"/>
      <c r="I20" s="44"/>
      <c r="J20" s="76"/>
    </row>
    <row r="21" s="3" customFormat="1" ht="68" customHeight="1"/>
  </sheetData>
  <mergeCells count="18">
    <mergeCell ref="A1:J1"/>
    <mergeCell ref="E2:F2"/>
    <mergeCell ref="A3:J3"/>
    <mergeCell ref="C13:F13"/>
    <mergeCell ref="A14:J14"/>
    <mergeCell ref="F15:H15"/>
    <mergeCell ref="C16:D16"/>
    <mergeCell ref="F16:H16"/>
    <mergeCell ref="A17:H17"/>
    <mergeCell ref="E18:G18"/>
    <mergeCell ref="I18:J18"/>
    <mergeCell ref="E19:G19"/>
    <mergeCell ref="I19:J19"/>
    <mergeCell ref="A20:J20"/>
    <mergeCell ref="A5:A7"/>
    <mergeCell ref="A8:A12"/>
    <mergeCell ref="B5:B6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开发</vt:lpstr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Five</cp:lastModifiedBy>
  <dcterms:created xsi:type="dcterms:W3CDTF">2025-08-21T03:37:00Z</dcterms:created>
  <dcterms:modified xsi:type="dcterms:W3CDTF">2026-03-03T16:40:54Z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CBEE6D618881505CB118E76839A7359A_43</vt:lpwstr>
  </property>
  <property fmtid="{D5CDD505-2E9C-101B-9397-08002B2CF9AE}" pid="3" name="KSOProductBuildVer">
    <vt:lpwstr>2052-7.2.2.8955</vt:lpwstr>
  </property>
</Properties>
</file>