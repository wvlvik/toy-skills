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060"/>
  </bookViews>
  <sheets>
    <sheet name="开发" sheetId="1" r:id="rId1"/>
    <sheet name="测试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<sst xmlns="http://schemas.openxmlformats.org/spreadsheetml/2006/main" count="165" uniqueCount="81">
  <si>
    <t>1月绩效考核表</t>
  </si>
  <si>
    <t>姓名:</t>
  </si>
  <si>
    <t>周树梧</t>
  </si>
  <si>
    <t>部门:</t>
  </si>
  <si>
    <t>开发</t>
  </si>
  <si>
    <t>岗位：</t>
  </si>
  <si>
    <t>考核周期 ：</t>
  </si>
  <si>
    <t>2026.2.1-2026.2.28</t>
  </si>
  <si>
    <t>一、业务管理（100分）</t>
  </si>
  <si>
    <t>维度</t>
  </si>
  <si>
    <t>指标</t>
  </si>
  <si>
    <r>
      <rPr>
        <b/>
        <sz val="12"/>
        <color rgb="FF000000"/>
        <rFont val="微软雅黑"/>
        <charset val="134"/>
      </rPr>
      <t xml:space="preserve">指标说明
</t>
    </r>
    <r>
      <rPr>
        <sz val="12"/>
        <color rgb="FF000000"/>
        <rFont val="微软雅黑"/>
        <charset val="134"/>
      </rPr>
      <t>（指标含义、计算公式或说明）</t>
    </r>
  </si>
  <si>
    <t>目标要求</t>
  </si>
  <si>
    <t>考核依据</t>
  </si>
  <si>
    <t>评分等级</t>
  </si>
  <si>
    <t>分值</t>
  </si>
  <si>
    <t>实际完成情况</t>
  </si>
  <si>
    <t>自评分</t>
  </si>
  <si>
    <t>上级评分</t>
  </si>
  <si>
    <t>结果指标(50分)</t>
  </si>
  <si>
    <t>产品规划(30分)</t>
  </si>
  <si>
    <t>【锦诺】APP：首页-直播提醒弹窗 支持H5弹窗；支持设置提醒频率</t>
  </si>
  <si>
    <t>按时提测、按时上线</t>
  </si>
  <si>
    <t>研发中心</t>
  </si>
  <si>
    <t>达成率100%得满分
提前完成或高效完成视情况加1-5分
未完成扣5分/个（未完成扣5分/个(依据功能大小视情况在5分基础上增扣1-15分)
完成率低于60%得0分，低于60%得0分
例如：9月有3个需求，其中有2个需求未完成扣除5分（需求个数）*5（分值）=10分</t>
  </si>
  <si>
    <t>按时完成开发、上线</t>
  </si>
  <si>
    <t>app商城个人中心切换商家和显示商家效果展示一致</t>
  </si>
  <si>
    <t>APP：未绑定门店客户，引导扫码绑定</t>
  </si>
  <si>
    <t>按时完成开发</t>
  </si>
  <si>
    <t>【定开】【田猫优选】购买有礼新增消费有礼活动子类型</t>
  </si>
  <si>
    <t>技术任务(20分)</t>
  </si>
  <si>
    <t>app账号设置新增检查版本和安装X5内容</t>
  </si>
  <si>
    <t>根据配置实现版本更新和安装X5</t>
  </si>
  <si>
    <t>完成任务，提取公共函数模块</t>
  </si>
  <si>
    <t>过程指标(50分)</t>
  </si>
  <si>
    <t>开发规范</t>
  </si>
  <si>
    <t>按照设计要求输出设计文档</t>
  </si>
  <si>
    <t>1、精准复用组件、业务公共逻辑；
2、需求、技术任务超过30工时，需要流程图输出；
3、重点项目需输出体验报告；</t>
  </si>
  <si>
    <t>未作1次：扣2分/次；
未作2次：扣5分/次；
未作3次：扣10分/次；
加2-5分（周期）。</t>
  </si>
  <si>
    <t>外部投诉</t>
  </si>
  <si>
    <t>线上问题响应处理效率</t>
  </si>
  <si>
    <t>1、致命类问题：
5分钟内做出响应，20分钟内出解决方案，1小时内解决问题。
2、严重类问题：
工作时间:
10分钟内做出响应，1小时内出解决方案，2小时内解决问题。
非工作时间：
30分钟内做出响应，2小时内出解决方案，4小时内解决问题。
3、一般类问题：
工作时间：
20分钟内做出响应，2小时内出解决方案，24小时内解决问题。
非工作时间：
1小时内做出响应，12小时内出解决方案，24小时内解决问题。</t>
  </si>
  <si>
    <t>1.致命问题未按规定及时响应不得分
2.严重问题未按规定时间及时响应每个扣5分
3.一般问题未按规定时间及时响应每个扣2-3分</t>
  </si>
  <si>
    <t>质量要求</t>
  </si>
  <si>
    <t>生产质量</t>
  </si>
  <si>
    <t>无一般问题，严重问题，致命问题。</t>
  </si>
  <si>
    <t>测试报告
研发部\客成部</t>
  </si>
  <si>
    <t>一般问题：3个及以上，扣5分，每增加1个增扣1分；
严重问题：视情节每个扣3分- 5分；
致命问题：视情节每个扣5分-10分，
致命问题有一票否决权，视情况当月绩效直接为0分；
当月线上环境无一般及以上问题视情况加2分-5分。</t>
  </si>
  <si>
    <t>测试质量，团队提测需求的测试质量分</t>
  </si>
  <si>
    <t>自测，零Bug，得满分。</t>
  </si>
  <si>
    <t>测试部</t>
  </si>
  <si>
    <t>1、提测后影响测试流程者，每处扣3分。
2、提测后被打回，每次5分。
任务周期内零Bug，加2-5（周期）。</t>
  </si>
  <si>
    <t>关键指标</t>
  </si>
  <si>
    <t>如：培训、代码评审、关键技术事项</t>
  </si>
  <si>
    <t>加分项</t>
  </si>
  <si>
    <t>对公司/部门/员工有重大突出贡献/优良影响对事例可酌情加5-15分(包含历史顽固问题解决、创新项目、主动承担等)</t>
  </si>
  <si>
    <t>二、价值观</t>
  </si>
  <si>
    <t>红线</t>
  </si>
  <si>
    <t>职业素养</t>
  </si>
  <si>
    <t>1、辱骂、诋毁、诽谤、造谣同事/公司，给同事/公司造成负面影响的
2、在公司拉帮结派，造成不良风气，被2人及以上举报证实的
3、威胁恐吓同事，被举报证实的
4、带情绪工作（含抱怨公司/上司）
5、推诿责任，不服从上级安排的工作
6、若员工有以上5项中任意一条及其他一切违背公司价值观及公序良俗的行为，一经发现，立即开除</t>
  </si>
  <si>
    <t>人事行政部</t>
  </si>
  <si>
    <t>考核指标签字确认栏</t>
  </si>
  <si>
    <t>被考核者签字：</t>
  </si>
  <si>
    <t>上级签字：</t>
  </si>
  <si>
    <t>时间：</t>
  </si>
  <si>
    <t>考核结果签字确认栏</t>
  </si>
  <si>
    <t>说明：
1、每个月末28号前部门负责人须与员工沟通制定次月绩效考核，双方签字后于次月3号前反馈签字版绩效考核方案至人事行政部存档备案，作为绩效考核依据</t>
  </si>
  <si>
    <t>X月绩效考核表</t>
  </si>
  <si>
    <t>XXX</t>
  </si>
  <si>
    <t>测试</t>
  </si>
  <si>
    <t>2025.7.1-2025.7.31</t>
  </si>
  <si>
    <t>A需求</t>
  </si>
  <si>
    <t>B需求</t>
  </si>
  <si>
    <t>A技术任务</t>
  </si>
  <si>
    <t>测试规范</t>
  </si>
  <si>
    <t>测试用例编写规范</t>
  </si>
  <si>
    <t>需求测试用例编写缺失；扣1分/次；
需求测试用例编写未按照用例规范；扣1分/次；
准入流程：
提测无冒烟流程；每次扣1分；
准出流程：
测试经过系统|master|联团|线上全流程验证；跳流程 扣1分/次；</t>
  </si>
  <si>
    <t>线上问题： 一般问题，严重问题，致命问题
一般问题：3个及以上，扣3分，每增加1个增扣1分，扣完为止；
严重问题：每个扣5-10分；
致命问题：该项不得分，致命问题有一票否决权
质量奖励：当月线上环境无一般及以上问题视情况加2分-5分。</t>
  </si>
  <si>
    <t>测试质量，测试环境bug率</t>
  </si>
  <si>
    <t>测试环境 /（测试环境+线上环境)*100%</t>
  </si>
  <si>
    <t>过程质量（4 分）：
1. 测试环境 bug 标记准确率 100%（2 分）：在缺陷管理系统中准确标记 “测试环境” 发现标签，错标 / 漏标 1 个扣 0.5 分（扣完为止）；
2. 测试环境 bug 根因记录完整（2 分）：每个 bug 需注明 “环境配置问题 / 数据问题 / 工具问题” 等根因，未记录 1 个扣 0.5 分（扣完为止）；
结果质量（6 分）：
测试环境 bug 率≥85% 得 6 分（即 85% 以上的 bug 在测试环境被发现）；
80%-84% 得 4 分；
75%-79% 得 2 分；
&lt;75% 得 0 分（说明线上 bug 占比过高，测试环境拦截不足）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</si>
</sst>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20"/>
      <color theme="1"/>
      <name val="宋体"/>
      <charset val="134"/>
    </font>
    <font>
      <b/>
      <sz val="14"/>
      <name val="微软雅黑"/>
      <charset val="134"/>
    </font>
    <font>
      <b/>
      <sz val="12"/>
      <name val="微软雅黑"/>
      <charset val="134"/>
    </font>
    <font>
      <b/>
      <sz val="12"/>
      <color theme="1"/>
      <name val="微软雅黑"/>
      <charset val="134"/>
    </font>
    <font>
      <b/>
      <sz val="12"/>
      <color indexed="8"/>
      <name val="微软雅黑"/>
      <charset val="134"/>
    </font>
    <font>
      <b/>
      <sz val="12"/>
      <color rgb="FF000000"/>
      <name val="微软雅黑"/>
      <charset val="134"/>
    </font>
    <font>
      <sz val="12"/>
      <name val="微软雅黑"/>
      <charset val="134"/>
    </font>
    <font>
      <sz val="12"/>
      <color theme="1"/>
      <name val="微软雅黑"/>
      <charset val="134"/>
    </font>
    <font>
      <sz val="11"/>
      <name val="宋体"/>
      <charset val="134"/>
      <scheme val="minor"/>
    </font>
    <font>
      <sz val="12"/>
      <color indexed="8"/>
      <name val="微软雅黑"/>
      <charset val="134"/>
    </font>
    <font>
      <sz val="12"/>
      <color rgb="FF000000"/>
      <name val="微软雅黑"/>
      <charset val="134"/>
    </font>
    <font>
      <b/>
      <sz val="12"/>
      <color rgb="FFFF0000"/>
      <name val="微软雅黑"/>
      <charset val="134"/>
    </font>
    <font>
      <sz val="12"/>
      <color rgb="FFFF0000"/>
      <name val="微软雅黑"/>
      <charset val="134"/>
    </font>
    <font>
      <b/>
      <u/>
      <sz val="12"/>
      <name val="微软雅黑"/>
      <charset val="134"/>
    </font>
    <font>
      <sz val="12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DEB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6" borderId="16" applyNumberFormat="0" applyAlignment="0" applyProtection="0">
      <alignment vertical="center"/>
    </xf>
    <xf numFmtId="0" fontId="27" fillId="7" borderId="17" applyNumberFormat="0" applyAlignment="0" applyProtection="0">
      <alignment vertical="center"/>
    </xf>
    <xf numFmtId="0" fontId="28" fillId="7" borderId="16" applyNumberFormat="0" applyAlignment="0" applyProtection="0">
      <alignment vertical="center"/>
    </xf>
    <xf numFmtId="0" fontId="29" fillId="8" borderId="18" applyNumberFormat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</cellStyleXfs>
  <cellXfs count="94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vertical="center" wrapText="1"/>
    </xf>
    <xf numFmtId="0" fontId="10" fillId="0" borderId="3" xfId="0" applyFont="1" applyBorder="1" applyAlignment="1"/>
    <xf numFmtId="0" fontId="10" fillId="0" borderId="4" xfId="0" applyFont="1" applyBorder="1" applyAlignment="1"/>
    <xf numFmtId="0" fontId="8" fillId="0" borderId="2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vertical="center" wrapText="1"/>
    </xf>
    <xf numFmtId="0" fontId="0" fillId="0" borderId="7" xfId="0" applyBorder="1">
      <alignment vertical="center"/>
    </xf>
    <xf numFmtId="0" fontId="11" fillId="0" borderId="6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vertical="center" wrapText="1"/>
    </xf>
    <xf numFmtId="0" fontId="0" fillId="0" borderId="3" xfId="0" applyBorder="1">
      <alignment vertical="center"/>
    </xf>
    <xf numFmtId="0" fontId="11" fillId="0" borderId="3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left" vertical="center" wrapText="1"/>
    </xf>
    <xf numFmtId="0" fontId="12" fillId="0" borderId="4" xfId="0" applyFont="1" applyFill="1" applyBorder="1" applyAlignment="1">
      <alignment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0" fillId="0" borderId="4" xfId="0" applyBorder="1">
      <alignment vertical="center"/>
    </xf>
    <xf numFmtId="0" fontId="8" fillId="0" borderId="4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left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righ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/>
    </xf>
    <xf numFmtId="0" fontId="1" fillId="0" borderId="1" xfId="0" applyFont="1" applyFill="1" applyBorder="1">
      <alignment vertical="center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12" fillId="0" borderId="10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11" fillId="0" borderId="2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11" fillId="0" borderId="10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9" fontId="8" fillId="2" borderId="1" xfId="0" applyNumberFormat="1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vertical="center" wrapText="1"/>
    </xf>
    <xf numFmtId="0" fontId="16" fillId="0" borderId="0" xfId="0" applyFont="1" applyFill="1">
      <alignment vertical="center"/>
    </xf>
    <xf numFmtId="0" fontId="16" fillId="0" borderId="0" xfId="0" applyFont="1" applyFill="1" applyAlignment="1">
      <alignment horizontal="center" vertical="center"/>
    </xf>
    <xf numFmtId="0" fontId="17" fillId="0" borderId="0" xfId="0" applyFont="1" applyFill="1">
      <alignment vertical="center"/>
    </xf>
    <xf numFmtId="0" fontId="17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4" borderId="2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12" fillId="0" borderId="11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vertical="center" wrapText="1"/>
    </xf>
    <xf numFmtId="0" fontId="12" fillId="0" borderId="12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16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开发"/>
  <dimension ref="A1:K23"/>
  <sheetViews>
    <sheetView tabSelected="1" zoomScale="81" zoomScaleNormal="81" topLeftCell="D10" workbookViewId="0">
      <selection activeCell="K15" sqref="K15"/>
    </sheetView>
  </sheetViews>
  <sheetFormatPr defaultColWidth="9" defaultRowHeight="28.8"/>
  <cols>
    <col min="1" max="1" width="19.75" style="79" customWidth="1"/>
    <col min="2" max="2" width="16.6826923076923" style="79" customWidth="1"/>
    <col min="3" max="3" width="67.0673076923077" style="79" customWidth="1"/>
    <col min="4" max="4" width="58.1538461538462" style="79" customWidth="1"/>
    <col min="5" max="5" width="15.7692307692308" style="79" customWidth="1"/>
    <col min="6" max="6" width="32.6346153846154" style="79" customWidth="1"/>
    <col min="7" max="7" width="13.2692307692308" style="79" customWidth="1"/>
    <col min="8" max="8" width="108.605769230769" style="80" customWidth="1"/>
    <col min="9" max="9" width="18.2788461538462" style="79" customWidth="1"/>
    <col min="10" max="10" width="67.8557692307692" style="79" customWidth="1"/>
    <col min="11" max="11" width="51.0961538461538" style="79" customWidth="1"/>
    <col min="12" max="26" width="9" style="79"/>
  </cols>
  <sheetData>
    <row r="1" s="77" customFormat="1" ht="26.25" customHeight="1" spans="1:10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="78" customFormat="1" ht="32.25" customHeight="1" spans="1:10">
      <c r="A2" s="5" t="s">
        <v>1</v>
      </c>
      <c r="B2" s="5" t="s">
        <v>2</v>
      </c>
      <c r="C2" s="5" t="s">
        <v>3</v>
      </c>
      <c r="D2" s="5" t="s">
        <v>4</v>
      </c>
      <c r="E2" s="37"/>
      <c r="F2" s="45"/>
      <c r="G2" s="5" t="s">
        <v>5</v>
      </c>
      <c r="H2" s="5" t="s">
        <v>4</v>
      </c>
      <c r="I2" s="5" t="s">
        <v>6</v>
      </c>
      <c r="J2" s="69" t="s">
        <v>7</v>
      </c>
    </row>
    <row r="3" s="77" customFormat="1" ht="30" customHeight="1" spans="1:10">
      <c r="A3" s="5" t="s">
        <v>8</v>
      </c>
      <c r="B3" s="5"/>
      <c r="C3" s="5"/>
      <c r="D3" s="5"/>
      <c r="E3" s="5"/>
      <c r="F3" s="5"/>
      <c r="G3" s="5"/>
      <c r="H3" s="5"/>
      <c r="I3" s="5"/>
      <c r="J3" s="5"/>
    </row>
    <row r="4" s="77" customFormat="1" ht="36" spans="1:10">
      <c r="A4" s="7" t="s">
        <v>9</v>
      </c>
      <c r="B4" s="7" t="s">
        <v>10</v>
      </c>
      <c r="C4" s="8" t="s">
        <v>11</v>
      </c>
      <c r="D4" s="8" t="s">
        <v>12</v>
      </c>
      <c r="E4" s="8" t="s">
        <v>13</v>
      </c>
      <c r="F4" s="8" t="s">
        <v>14</v>
      </c>
      <c r="G4" s="7" t="s">
        <v>15</v>
      </c>
      <c r="H4" s="46" t="s">
        <v>16</v>
      </c>
      <c r="I4" s="46" t="s">
        <v>17</v>
      </c>
      <c r="J4" s="46" t="s">
        <v>18</v>
      </c>
    </row>
    <row r="5" s="1" customFormat="1" ht="68" customHeight="1" spans="1:11">
      <c r="A5" s="17" t="s">
        <v>19</v>
      </c>
      <c r="B5" s="81" t="s">
        <v>20</v>
      </c>
      <c r="C5" s="11" t="s">
        <v>21</v>
      </c>
      <c r="D5" s="82" t="s">
        <v>22</v>
      </c>
      <c r="E5" s="47" t="s">
        <v>23</v>
      </c>
      <c r="F5" s="85" t="s">
        <v>24</v>
      </c>
      <c r="G5" s="49">
        <v>10</v>
      </c>
      <c r="H5" s="86" t="s">
        <v>25</v>
      </c>
      <c r="I5" s="47">
        <v>10</v>
      </c>
      <c r="J5" s="47">
        <v>10</v>
      </c>
      <c r="K5" s="71"/>
    </row>
    <row r="6" s="1" customFormat="1" ht="68" customHeight="1" spans="1:11">
      <c r="A6" s="83"/>
      <c r="B6" s="81"/>
      <c r="C6" s="11" t="s">
        <v>26</v>
      </c>
      <c r="D6" s="82" t="s">
        <v>22</v>
      </c>
      <c r="E6" s="47"/>
      <c r="F6" s="87"/>
      <c r="G6" s="49">
        <v>5</v>
      </c>
      <c r="H6" s="86" t="s">
        <v>25</v>
      </c>
      <c r="I6" s="47">
        <v>5</v>
      </c>
      <c r="J6" s="47">
        <v>5</v>
      </c>
      <c r="K6" s="71"/>
    </row>
    <row r="7" s="77" customFormat="1" ht="72.75" customHeight="1" spans="1:11">
      <c r="A7" s="20"/>
      <c r="B7" s="81"/>
      <c r="C7" s="11" t="s">
        <v>27</v>
      </c>
      <c r="D7" s="82" t="s">
        <v>22</v>
      </c>
      <c r="E7" s="47"/>
      <c r="F7" s="87"/>
      <c r="G7" s="49">
        <v>5</v>
      </c>
      <c r="H7" s="86" t="s">
        <v>28</v>
      </c>
      <c r="I7" s="47">
        <v>5</v>
      </c>
      <c r="J7" s="47">
        <v>5</v>
      </c>
      <c r="K7" s="93"/>
    </row>
    <row r="8" s="77" customFormat="1" ht="72.75" customHeight="1" spans="1:11">
      <c r="A8" s="20"/>
      <c r="B8" s="81"/>
      <c r="C8" s="11" t="s">
        <v>29</v>
      </c>
      <c r="D8" s="82" t="s">
        <v>22</v>
      </c>
      <c r="E8" s="47" t="s">
        <v>23</v>
      </c>
      <c r="F8" s="87"/>
      <c r="G8" s="49">
        <v>10</v>
      </c>
      <c r="H8" s="86" t="s">
        <v>28</v>
      </c>
      <c r="I8" s="47">
        <v>10</v>
      </c>
      <c r="J8" s="47">
        <v>10</v>
      </c>
      <c r="K8" s="93"/>
    </row>
    <row r="9" s="77" customFormat="1" ht="74.25" customHeight="1" spans="1:11">
      <c r="A9" s="23"/>
      <c r="B9" s="10" t="s">
        <v>30</v>
      </c>
      <c r="C9" s="15" t="s">
        <v>31</v>
      </c>
      <c r="D9" s="82" t="s">
        <v>32</v>
      </c>
      <c r="E9" s="51" t="s">
        <v>23</v>
      </c>
      <c r="F9" s="87"/>
      <c r="G9" s="49">
        <v>20</v>
      </c>
      <c r="H9" s="86" t="s">
        <v>33</v>
      </c>
      <c r="I9" s="47">
        <v>20</v>
      </c>
      <c r="J9" s="47">
        <v>20</v>
      </c>
      <c r="K9" s="93"/>
    </row>
    <row r="10" s="77" customFormat="1" ht="117" customHeight="1" spans="1:11">
      <c r="A10" s="17" t="s">
        <v>34</v>
      </c>
      <c r="B10" s="21" t="s">
        <v>35</v>
      </c>
      <c r="C10" s="22" t="s">
        <v>36</v>
      </c>
      <c r="D10" s="22" t="s">
        <v>37</v>
      </c>
      <c r="E10" s="53" t="s">
        <v>23</v>
      </c>
      <c r="F10" s="54" t="s">
        <v>38</v>
      </c>
      <c r="G10" s="49">
        <v>10</v>
      </c>
      <c r="H10" s="86"/>
      <c r="I10" s="47">
        <v>10</v>
      </c>
      <c r="J10" s="47">
        <v>10</v>
      </c>
      <c r="K10" s="93"/>
    </row>
    <row r="11" s="77" customFormat="1" ht="156.75" customHeight="1" spans="1:10">
      <c r="A11" s="20"/>
      <c r="B11" s="21" t="s">
        <v>39</v>
      </c>
      <c r="C11" s="22" t="s">
        <v>40</v>
      </c>
      <c r="D11" s="22" t="s">
        <v>41</v>
      </c>
      <c r="E11" s="53" t="s">
        <v>23</v>
      </c>
      <c r="F11" s="54" t="s">
        <v>42</v>
      </c>
      <c r="G11" s="49">
        <v>20</v>
      </c>
      <c r="H11" s="86"/>
      <c r="I11" s="47">
        <v>20</v>
      </c>
      <c r="J11" s="47">
        <v>20</v>
      </c>
    </row>
    <row r="12" s="77" customFormat="1" ht="93" customHeight="1" spans="1:10">
      <c r="A12" s="23"/>
      <c r="B12" s="24" t="s">
        <v>43</v>
      </c>
      <c r="C12" s="25" t="s">
        <v>44</v>
      </c>
      <c r="D12" s="26" t="s">
        <v>45</v>
      </c>
      <c r="E12" s="88" t="s">
        <v>46</v>
      </c>
      <c r="F12" s="85" t="s">
        <v>47</v>
      </c>
      <c r="G12" s="49">
        <v>10</v>
      </c>
      <c r="H12" s="86"/>
      <c r="I12" s="47">
        <v>10</v>
      </c>
      <c r="J12" s="47">
        <v>10</v>
      </c>
    </row>
    <row r="13" s="77" customFormat="1" ht="76.5" customHeight="1" spans="1:10">
      <c r="A13" s="23"/>
      <c r="B13" s="27"/>
      <c r="C13" s="28" t="s">
        <v>48</v>
      </c>
      <c r="D13" s="15" t="s">
        <v>49</v>
      </c>
      <c r="E13" s="10" t="s">
        <v>50</v>
      </c>
      <c r="F13" s="89" t="s">
        <v>51</v>
      </c>
      <c r="G13" s="49">
        <v>10</v>
      </c>
      <c r="H13" s="86"/>
      <c r="I13" s="47">
        <v>10</v>
      </c>
      <c r="J13" s="47">
        <v>10</v>
      </c>
    </row>
    <row r="14" s="1" customFormat="1" ht="76.5" customHeight="1" spans="1:10">
      <c r="A14" s="29"/>
      <c r="B14" s="30" t="s">
        <v>52</v>
      </c>
      <c r="C14" s="31" t="s">
        <v>53</v>
      </c>
      <c r="D14" s="32"/>
      <c r="E14" s="60"/>
      <c r="F14" s="19"/>
      <c r="G14" s="57"/>
      <c r="H14" s="51"/>
      <c r="I14" s="70"/>
      <c r="J14" s="70"/>
    </row>
    <row r="15" s="77" customFormat="1" ht="39" customHeight="1" spans="1:10">
      <c r="A15" s="33" t="s">
        <v>54</v>
      </c>
      <c r="B15" s="34" t="s">
        <v>54</v>
      </c>
      <c r="C15" s="35" t="s">
        <v>55</v>
      </c>
      <c r="D15" s="84"/>
      <c r="E15" s="84"/>
      <c r="F15" s="90"/>
      <c r="G15" s="49"/>
      <c r="H15" s="51"/>
      <c r="I15" s="70"/>
      <c r="J15" s="70"/>
    </row>
    <row r="16" s="77" customFormat="1" ht="28" customHeight="1" spans="1:10">
      <c r="A16" s="37" t="s">
        <v>56</v>
      </c>
      <c r="B16" s="38"/>
      <c r="C16" s="38"/>
      <c r="D16" s="38"/>
      <c r="E16" s="38"/>
      <c r="F16" s="38"/>
      <c r="G16" s="38"/>
      <c r="H16" s="38"/>
      <c r="I16" s="38"/>
      <c r="J16" s="45"/>
    </row>
    <row r="17" s="77" customFormat="1" ht="36" spans="1:10">
      <c r="A17" s="7" t="s">
        <v>9</v>
      </c>
      <c r="B17" s="7" t="s">
        <v>10</v>
      </c>
      <c r="C17" s="8" t="s">
        <v>11</v>
      </c>
      <c r="D17" s="8" t="s">
        <v>12</v>
      </c>
      <c r="E17" s="8" t="s">
        <v>13</v>
      </c>
      <c r="F17" s="61" t="s">
        <v>16</v>
      </c>
      <c r="G17" s="62"/>
      <c r="H17" s="63"/>
      <c r="I17" s="46" t="s">
        <v>17</v>
      </c>
      <c r="J17" s="46" t="s">
        <v>18</v>
      </c>
    </row>
    <row r="18" s="77" customFormat="1" ht="18" spans="1:10">
      <c r="A18" s="39" t="s">
        <v>57</v>
      </c>
      <c r="B18" s="40" t="s">
        <v>58</v>
      </c>
      <c r="C18" s="41" t="s">
        <v>59</v>
      </c>
      <c r="D18" s="41"/>
      <c r="E18" s="64" t="s">
        <v>60</v>
      </c>
      <c r="F18" s="65"/>
      <c r="G18" s="66"/>
      <c r="H18" s="67"/>
      <c r="I18" s="72"/>
      <c r="J18" s="72"/>
    </row>
    <row r="19" s="77" customFormat="1" ht="29.25" customHeight="1" spans="1:10">
      <c r="A19" s="42"/>
      <c r="B19" s="42"/>
      <c r="C19" s="42"/>
      <c r="D19" s="42"/>
      <c r="E19" s="42"/>
      <c r="F19" s="42"/>
      <c r="G19" s="42"/>
      <c r="H19" s="91"/>
      <c r="I19" s="73">
        <f>SUM(I5:I15)+I18</f>
        <v>100</v>
      </c>
      <c r="J19" s="73">
        <f>SUM(J5:J15)+J18</f>
        <v>100</v>
      </c>
    </row>
    <row r="20" s="77" customFormat="1" ht="35" customHeight="1" spans="1:10">
      <c r="A20" s="6" t="s">
        <v>61</v>
      </c>
      <c r="B20" s="6" t="s">
        <v>62</v>
      </c>
      <c r="C20" s="6"/>
      <c r="D20" s="6" t="s">
        <v>63</v>
      </c>
      <c r="E20" s="68"/>
      <c r="F20" s="68"/>
      <c r="G20" s="68"/>
      <c r="H20" s="6" t="s">
        <v>64</v>
      </c>
      <c r="I20" s="74"/>
      <c r="J20" s="75"/>
    </row>
    <row r="21" s="77" customFormat="1" ht="35" customHeight="1" spans="1:10">
      <c r="A21" s="6" t="s">
        <v>65</v>
      </c>
      <c r="B21" s="6" t="s">
        <v>62</v>
      </c>
      <c r="C21" s="6"/>
      <c r="D21" s="6" t="s">
        <v>63</v>
      </c>
      <c r="E21" s="61"/>
      <c r="F21" s="62"/>
      <c r="G21" s="63"/>
      <c r="H21" s="6" t="s">
        <v>64</v>
      </c>
      <c r="I21" s="74"/>
      <c r="J21" s="75"/>
    </row>
    <row r="22" s="77" customFormat="1" ht="68" customHeight="1" spans="1:10">
      <c r="A22" s="43" t="s">
        <v>66</v>
      </c>
      <c r="B22" s="44"/>
      <c r="C22" s="44"/>
      <c r="D22" s="44"/>
      <c r="E22" s="44"/>
      <c r="F22" s="44"/>
      <c r="G22" s="44"/>
      <c r="H22" s="92"/>
      <c r="I22" s="44"/>
      <c r="J22" s="76"/>
    </row>
    <row r="23" s="79" customFormat="1" ht="68" customHeight="1" spans="8:8">
      <c r="H23" s="80"/>
    </row>
  </sheetData>
  <mergeCells count="19">
    <mergeCell ref="A1:J1"/>
    <mergeCell ref="E2:F2"/>
    <mergeCell ref="A3:J3"/>
    <mergeCell ref="C15:F15"/>
    <mergeCell ref="A16:J16"/>
    <mergeCell ref="F17:H17"/>
    <mergeCell ref="C18:D18"/>
    <mergeCell ref="F18:H18"/>
    <mergeCell ref="A19:H19"/>
    <mergeCell ref="E20:G20"/>
    <mergeCell ref="I20:J20"/>
    <mergeCell ref="E21:G21"/>
    <mergeCell ref="I21:J21"/>
    <mergeCell ref="A22:J22"/>
    <mergeCell ref="A5:A9"/>
    <mergeCell ref="A10:A14"/>
    <mergeCell ref="B5:B8"/>
    <mergeCell ref="B12:B13"/>
    <mergeCell ref="F5:F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测试"/>
  <dimension ref="A1:K21"/>
  <sheetViews>
    <sheetView zoomScale="81" zoomScaleNormal="81" workbookViewId="0">
      <selection activeCell="A1" sqref="A1:J1"/>
    </sheetView>
  </sheetViews>
  <sheetFormatPr defaultColWidth="10.3846153846154" defaultRowHeight="28.8"/>
  <cols>
    <col min="1" max="1" width="19.75" style="3" customWidth="1"/>
    <col min="2" max="2" width="16.6826923076923" style="3" customWidth="1"/>
    <col min="3" max="3" width="34.3557692307692" style="3" customWidth="1"/>
    <col min="4" max="4" width="58.1538461538462" style="3" customWidth="1"/>
    <col min="5" max="5" width="15.7692307692308" style="3" customWidth="1"/>
    <col min="6" max="6" width="39.0096153846154" style="3" customWidth="1"/>
    <col min="7" max="7" width="13.2692307692308" style="3" customWidth="1"/>
    <col min="8" max="8" width="20.125" style="3" customWidth="1"/>
    <col min="9" max="9" width="18.2788461538462" style="3" customWidth="1"/>
    <col min="10" max="10" width="19.9903846153846" style="3" customWidth="1"/>
    <col min="11" max="11" width="51.0961538461538" style="3" customWidth="1"/>
    <col min="12" max="26" width="9" style="3"/>
  </cols>
  <sheetData>
    <row r="1" s="1" customFormat="1" ht="26.25" customHeight="1" spans="1:10">
      <c r="A1" s="4" t="s">
        <v>67</v>
      </c>
      <c r="B1" s="5"/>
      <c r="C1" s="5"/>
      <c r="D1" s="5"/>
      <c r="E1" s="5"/>
      <c r="F1" s="5"/>
      <c r="G1" s="5"/>
      <c r="H1" s="5"/>
      <c r="I1" s="5"/>
      <c r="J1" s="5"/>
    </row>
    <row r="2" s="2" customFormat="1" ht="32.25" customHeight="1" spans="1:10">
      <c r="A2" s="5" t="s">
        <v>1</v>
      </c>
      <c r="B2" s="6" t="s">
        <v>68</v>
      </c>
      <c r="C2" s="5" t="s">
        <v>3</v>
      </c>
      <c r="D2" s="5" t="s">
        <v>50</v>
      </c>
      <c r="E2" s="37"/>
      <c r="F2" s="45"/>
      <c r="G2" s="5" t="s">
        <v>5</v>
      </c>
      <c r="H2" s="5" t="s">
        <v>69</v>
      </c>
      <c r="I2" s="5" t="s">
        <v>6</v>
      </c>
      <c r="J2" s="69" t="s">
        <v>70</v>
      </c>
    </row>
    <row r="3" s="1" customFormat="1" ht="30" customHeight="1" spans="1:10">
      <c r="A3" s="5" t="s">
        <v>8</v>
      </c>
      <c r="B3" s="5"/>
      <c r="C3" s="5"/>
      <c r="D3" s="5"/>
      <c r="E3" s="5"/>
      <c r="F3" s="5"/>
      <c r="G3" s="5"/>
      <c r="H3" s="5"/>
      <c r="I3" s="5"/>
      <c r="J3" s="5"/>
    </row>
    <row r="4" s="1" customFormat="1" ht="36" spans="1:10">
      <c r="A4" s="7" t="s">
        <v>9</v>
      </c>
      <c r="B4" s="7" t="s">
        <v>10</v>
      </c>
      <c r="C4" s="8" t="s">
        <v>11</v>
      </c>
      <c r="D4" s="8" t="s">
        <v>12</v>
      </c>
      <c r="E4" s="8" t="s">
        <v>13</v>
      </c>
      <c r="F4" s="8" t="s">
        <v>14</v>
      </c>
      <c r="G4" s="7" t="s">
        <v>15</v>
      </c>
      <c r="H4" s="46" t="s">
        <v>16</v>
      </c>
      <c r="I4" s="46" t="s">
        <v>17</v>
      </c>
      <c r="J4" s="46" t="s">
        <v>18</v>
      </c>
    </row>
    <row r="5" s="1" customFormat="1" ht="39" customHeight="1" spans="1:11">
      <c r="A5" s="9" t="s">
        <v>19</v>
      </c>
      <c r="B5" s="10" t="s">
        <v>20</v>
      </c>
      <c r="C5" s="11" t="s">
        <v>71</v>
      </c>
      <c r="D5" s="12"/>
      <c r="E5" s="47" t="s">
        <v>23</v>
      </c>
      <c r="F5" s="48"/>
      <c r="G5" s="49">
        <v>15</v>
      </c>
      <c r="H5" s="50"/>
      <c r="I5" s="47"/>
      <c r="J5" s="70"/>
      <c r="K5" s="71"/>
    </row>
    <row r="6" s="1" customFormat="1" ht="72.75" customHeight="1" spans="1:11">
      <c r="A6" s="13"/>
      <c r="B6" s="14"/>
      <c r="C6" s="11" t="s">
        <v>72</v>
      </c>
      <c r="D6" s="12"/>
      <c r="E6" s="47" t="s">
        <v>23</v>
      </c>
      <c r="F6" s="48"/>
      <c r="G6" s="49">
        <v>15</v>
      </c>
      <c r="H6" s="50"/>
      <c r="I6" s="47"/>
      <c r="J6" s="70"/>
      <c r="K6" s="71"/>
    </row>
    <row r="7" s="1" customFormat="1" ht="74.25" customHeight="1" spans="1:11">
      <c r="A7" s="13"/>
      <c r="B7" s="10" t="s">
        <v>30</v>
      </c>
      <c r="C7" s="15" t="s">
        <v>73</v>
      </c>
      <c r="D7" s="16"/>
      <c r="E7" s="51" t="s">
        <v>23</v>
      </c>
      <c r="F7" s="52"/>
      <c r="G7" s="49">
        <v>20</v>
      </c>
      <c r="H7" s="50"/>
      <c r="I7" s="47"/>
      <c r="J7" s="70"/>
      <c r="K7" s="71"/>
    </row>
    <row r="8" s="1" customFormat="1" ht="124" customHeight="1" spans="1:11">
      <c r="A8" s="17" t="s">
        <v>34</v>
      </c>
      <c r="B8" s="18" t="s">
        <v>74</v>
      </c>
      <c r="C8" s="19" t="s">
        <v>75</v>
      </c>
      <c r="D8" s="19" t="s">
        <v>76</v>
      </c>
      <c r="E8" s="53" t="s">
        <v>23</v>
      </c>
      <c r="F8" s="54" t="s">
        <v>38</v>
      </c>
      <c r="G8" s="49">
        <v>10</v>
      </c>
      <c r="H8" s="50"/>
      <c r="I8" s="47"/>
      <c r="J8" s="70"/>
      <c r="K8" s="71"/>
    </row>
    <row r="9" s="1" customFormat="1" ht="212" customHeight="1" spans="1:10">
      <c r="A9" s="20"/>
      <c r="B9" s="21" t="s">
        <v>39</v>
      </c>
      <c r="C9" s="22" t="s">
        <v>40</v>
      </c>
      <c r="D9" s="22" t="s">
        <v>41</v>
      </c>
      <c r="E9" s="53" t="s">
        <v>23</v>
      </c>
      <c r="F9" s="55" t="s">
        <v>42</v>
      </c>
      <c r="G9" s="49">
        <v>20</v>
      </c>
      <c r="H9" s="51"/>
      <c r="I9" s="70"/>
      <c r="J9" s="70"/>
    </row>
    <row r="10" s="1" customFormat="1" ht="134.25" customHeight="1" spans="1:10">
      <c r="A10" s="23"/>
      <c r="B10" s="24" t="s">
        <v>43</v>
      </c>
      <c r="C10" s="25" t="s">
        <v>44</v>
      </c>
      <c r="D10" s="26" t="s">
        <v>45</v>
      </c>
      <c r="E10" s="56" t="s">
        <v>46</v>
      </c>
      <c r="F10" s="32" t="s">
        <v>77</v>
      </c>
      <c r="G10" s="57">
        <v>10</v>
      </c>
      <c r="H10" s="51"/>
      <c r="I10" s="70"/>
      <c r="J10" s="70"/>
    </row>
    <row r="11" s="1" customFormat="1" ht="336.75" customHeight="1" spans="1:10">
      <c r="A11" s="23"/>
      <c r="B11" s="27"/>
      <c r="C11" s="28" t="s">
        <v>78</v>
      </c>
      <c r="D11" s="28" t="s">
        <v>79</v>
      </c>
      <c r="E11" s="58" t="s">
        <v>50</v>
      </c>
      <c r="F11" s="59" t="s">
        <v>80</v>
      </c>
      <c r="G11" s="49">
        <v>10</v>
      </c>
      <c r="H11" s="51"/>
      <c r="I11" s="70"/>
      <c r="J11" s="70"/>
    </row>
    <row r="12" s="1" customFormat="1" ht="76.5" customHeight="1" spans="1:10">
      <c r="A12" s="29"/>
      <c r="B12" s="30" t="s">
        <v>52</v>
      </c>
      <c r="C12" s="31" t="s">
        <v>53</v>
      </c>
      <c r="D12" s="32"/>
      <c r="E12" s="60"/>
      <c r="F12" s="19"/>
      <c r="G12" s="57"/>
      <c r="H12" s="51"/>
      <c r="I12" s="70"/>
      <c r="J12" s="70"/>
    </row>
    <row r="13" s="1" customFormat="1" ht="39" customHeight="1" spans="1:10">
      <c r="A13" s="33" t="s">
        <v>54</v>
      </c>
      <c r="B13" s="34" t="s">
        <v>54</v>
      </c>
      <c r="C13" s="35" t="s">
        <v>55</v>
      </c>
      <c r="D13" s="36"/>
      <c r="E13" s="36"/>
      <c r="F13" s="53"/>
      <c r="G13" s="49"/>
      <c r="H13" s="51"/>
      <c r="I13" s="70"/>
      <c r="J13" s="70"/>
    </row>
    <row r="14" s="1" customFormat="1" ht="28" customHeight="1" spans="1:10">
      <c r="A14" s="37" t="s">
        <v>56</v>
      </c>
      <c r="B14" s="38"/>
      <c r="C14" s="38"/>
      <c r="D14" s="38"/>
      <c r="E14" s="38"/>
      <c r="F14" s="38"/>
      <c r="G14" s="38"/>
      <c r="H14" s="38"/>
      <c r="I14" s="38"/>
      <c r="J14" s="45"/>
    </row>
    <row r="15" s="1" customFormat="1" ht="36" spans="1:10">
      <c r="A15" s="7" t="s">
        <v>9</v>
      </c>
      <c r="B15" s="7" t="s">
        <v>10</v>
      </c>
      <c r="C15" s="8" t="s">
        <v>11</v>
      </c>
      <c r="D15" s="8" t="s">
        <v>12</v>
      </c>
      <c r="E15" s="8" t="s">
        <v>13</v>
      </c>
      <c r="F15" s="61" t="s">
        <v>16</v>
      </c>
      <c r="G15" s="62"/>
      <c r="H15" s="63"/>
      <c r="I15" s="46" t="s">
        <v>17</v>
      </c>
      <c r="J15" s="46" t="s">
        <v>18</v>
      </c>
    </row>
    <row r="16" s="1" customFormat="1" ht="18" spans="1:10">
      <c r="A16" s="39" t="s">
        <v>57</v>
      </c>
      <c r="B16" s="40" t="s">
        <v>58</v>
      </c>
      <c r="C16" s="41" t="s">
        <v>59</v>
      </c>
      <c r="D16" s="41"/>
      <c r="E16" s="64" t="s">
        <v>60</v>
      </c>
      <c r="F16" s="65"/>
      <c r="G16" s="66"/>
      <c r="H16" s="67"/>
      <c r="I16" s="72"/>
      <c r="J16" s="72"/>
    </row>
    <row r="17" s="1" customFormat="1" ht="29.25" customHeight="1" spans="1:10">
      <c r="A17" s="42"/>
      <c r="B17" s="42"/>
      <c r="C17" s="42"/>
      <c r="D17" s="42"/>
      <c r="E17" s="42"/>
      <c r="F17" s="42"/>
      <c r="G17" s="42"/>
      <c r="H17" s="42"/>
      <c r="I17" s="73">
        <f>SUM(I5:I13)+I16</f>
        <v>0</v>
      </c>
      <c r="J17" s="73">
        <f>SUM(J5:J13)+J16</f>
        <v>0</v>
      </c>
    </row>
    <row r="18" s="1" customFormat="1" ht="35" customHeight="1" spans="1:10">
      <c r="A18" s="6" t="s">
        <v>61</v>
      </c>
      <c r="B18" s="6" t="s">
        <v>62</v>
      </c>
      <c r="C18" s="6"/>
      <c r="D18" s="6" t="s">
        <v>63</v>
      </c>
      <c r="E18" s="68"/>
      <c r="F18" s="68"/>
      <c r="G18" s="68"/>
      <c r="H18" s="6" t="s">
        <v>64</v>
      </c>
      <c r="I18" s="74"/>
      <c r="J18" s="75"/>
    </row>
    <row r="19" s="1" customFormat="1" ht="35" customHeight="1" spans="1:10">
      <c r="A19" s="6" t="s">
        <v>65</v>
      </c>
      <c r="B19" s="6" t="s">
        <v>62</v>
      </c>
      <c r="C19" s="6"/>
      <c r="D19" s="6" t="s">
        <v>63</v>
      </c>
      <c r="E19" s="61"/>
      <c r="F19" s="62"/>
      <c r="G19" s="63"/>
      <c r="H19" s="6" t="s">
        <v>64</v>
      </c>
      <c r="I19" s="74"/>
      <c r="J19" s="75"/>
    </row>
    <row r="20" s="1" customFormat="1" ht="68" customHeight="1" spans="1:10">
      <c r="A20" s="43" t="s">
        <v>66</v>
      </c>
      <c r="B20" s="44"/>
      <c r="C20" s="44"/>
      <c r="D20" s="44"/>
      <c r="E20" s="44"/>
      <c r="F20" s="44"/>
      <c r="G20" s="44"/>
      <c r="H20" s="44"/>
      <c r="I20" s="44"/>
      <c r="J20" s="76"/>
    </row>
    <row r="21" s="3" customFormat="1" ht="68" customHeight="1"/>
  </sheetData>
  <mergeCells count="18">
    <mergeCell ref="A1:J1"/>
    <mergeCell ref="E2:F2"/>
    <mergeCell ref="A3:J3"/>
    <mergeCell ref="C13:F13"/>
    <mergeCell ref="A14:J14"/>
    <mergeCell ref="F15:H15"/>
    <mergeCell ref="C16:D16"/>
    <mergeCell ref="F16:H16"/>
    <mergeCell ref="A17:H17"/>
    <mergeCell ref="E18:G18"/>
    <mergeCell ref="I18:J18"/>
    <mergeCell ref="E19:G19"/>
    <mergeCell ref="I19:J19"/>
    <mergeCell ref="A20:J20"/>
    <mergeCell ref="A5:A7"/>
    <mergeCell ref="A8:A12"/>
    <mergeCell ref="B5:B6"/>
    <mergeCell ref="B10:B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开发</vt:lpstr>
      <vt:lpstr>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Five</cp:lastModifiedBy>
  <dcterms:created xsi:type="dcterms:W3CDTF">2025-08-21T03:37:00Z</dcterms:created>
  <dcterms:modified xsi:type="dcterms:W3CDTF">2026-03-03T16:40:31Z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06DF6E564067410D474E80699E93FCCF_43</vt:lpwstr>
  </property>
  <property fmtid="{D5CDD505-2E9C-101B-9397-08002B2CF9AE}" pid="3" name="KSOProductBuildVer">
    <vt:lpwstr>2052-7.2.2.8955</vt:lpwstr>
  </property>
  <property fmtid="{D5CDD505-2E9C-101B-9397-08002B2CF9AE}" pid="4" name="CalculationRule">
    <vt:i4>0</vt:i4>
  </property>
</Properties>
</file>